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 defaultThemeVersion="164011"/>
  <mc:AlternateContent xmlns:mc="http://schemas.openxmlformats.org/markup-compatibility/2006">
    <mc:Choice Requires="x15">
      <x15ac:absPath xmlns:x15ac="http://schemas.microsoft.com/office/spreadsheetml/2010/11/ac" url="C:\Users\s162418\Downloads\"/>
    </mc:Choice>
  </mc:AlternateContent>
  <bookViews>
    <workbookView xWindow="0" yWindow="0" windowWidth="28800" windowHeight="14100" activeTab="3"/>
  </bookViews>
  <sheets>
    <sheet name="input_all" sheetId="6" r:id="rId1"/>
    <sheet name="Dashboard" sheetId="5" r:id="rId2"/>
    <sheet name="Economics" sheetId="10" r:id="rId3"/>
    <sheet name="Potential" sheetId="11" r:id="rId4"/>
  </sheets>
  <externalReferences>
    <externalReference r:id="rId5"/>
  </externalReferences>
  <definedNames>
    <definedName name="_xlnm._FilterDatabase" localSheetId="0" hidden="1">input_all!$CH$2:$CL$21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19" i="10" l="1"/>
  <c r="P19" i="10" s="1"/>
  <c r="O16" i="10"/>
  <c r="P16" i="10" s="1"/>
  <c r="R16" i="10" s="1"/>
  <c r="O18" i="10"/>
  <c r="O17" i="10"/>
  <c r="P24" i="10"/>
  <c r="D9" i="10"/>
  <c r="O27" i="10"/>
  <c r="P27" i="10" s="1"/>
  <c r="O26" i="10"/>
  <c r="P26" i="10" s="1"/>
  <c r="O25" i="10"/>
  <c r="P25" i="10" s="1"/>
  <c r="N11" i="10"/>
  <c r="C18" i="10"/>
  <c r="C17" i="10"/>
  <c r="W43" i="11"/>
  <c r="W37" i="11"/>
  <c r="W38" i="11"/>
  <c r="W39" i="11"/>
  <c r="W40" i="11"/>
  <c r="W41" i="11"/>
  <c r="W42" i="11"/>
  <c r="W36" i="11"/>
  <c r="AE30" i="11"/>
  <c r="AE31" i="11"/>
  <c r="AE29" i="11"/>
  <c r="AS10" i="11"/>
  <c r="AS11" i="11"/>
  <c r="AD29" i="11"/>
  <c r="W23" i="11"/>
  <c r="W24" i="11"/>
  <c r="W25" i="11"/>
  <c r="W26" i="11"/>
  <c r="W27" i="11"/>
  <c r="W28" i="11"/>
  <c r="W29" i="11"/>
  <c r="W30" i="11"/>
  <c r="W31" i="11"/>
  <c r="X23" i="11"/>
  <c r="W17" i="11"/>
  <c r="W16" i="11"/>
  <c r="W15" i="11"/>
  <c r="W14" i="11"/>
  <c r="W13" i="11"/>
  <c r="W12" i="11"/>
  <c r="W11" i="11"/>
  <c r="W10" i="11"/>
  <c r="W9" i="11"/>
  <c r="AF9" i="11"/>
  <c r="AR7" i="11"/>
  <c r="AK7" i="11"/>
  <c r="U37" i="11"/>
  <c r="U38" i="11" s="1"/>
  <c r="U39" i="11" s="1"/>
  <c r="U40" i="11" s="1"/>
  <c r="U41" i="11" s="1"/>
  <c r="U42" i="11" s="1"/>
  <c r="U43" i="11" s="1"/>
  <c r="AS9" i="11"/>
  <c r="AR8" i="11"/>
  <c r="AQ8" i="11"/>
  <c r="AP8" i="11"/>
  <c r="AO8" i="11"/>
  <c r="AN8" i="11"/>
  <c r="AM8" i="11"/>
  <c r="AL8" i="11"/>
  <c r="AK8" i="11"/>
  <c r="AQ7" i="11"/>
  <c r="AP7" i="11"/>
  <c r="AO7" i="11"/>
  <c r="AN7" i="11"/>
  <c r="AM7" i="11"/>
  <c r="AL7" i="11"/>
  <c r="AR6" i="11"/>
  <c r="AQ6" i="11"/>
  <c r="AP6" i="11"/>
  <c r="AO6" i="11"/>
  <c r="AN6" i="11"/>
  <c r="AM6" i="11"/>
  <c r="AL6" i="11"/>
  <c r="AK6" i="11"/>
  <c r="AR5" i="11"/>
  <c r="AQ5" i="11"/>
  <c r="AP5" i="11"/>
  <c r="AO5" i="11"/>
  <c r="AN5" i="11"/>
  <c r="AM5" i="11"/>
  <c r="AL5" i="11"/>
  <c r="AK5" i="11"/>
  <c r="AR4" i="11"/>
  <c r="AQ4" i="11"/>
  <c r="AP4" i="11"/>
  <c r="AO4" i="11"/>
  <c r="AN4" i="11"/>
  <c r="AM4" i="11"/>
  <c r="AL4" i="11"/>
  <c r="AK4" i="11"/>
  <c r="AR3" i="11"/>
  <c r="AQ3" i="11"/>
  <c r="AP3" i="11"/>
  <c r="AO3" i="11"/>
  <c r="AN3" i="11"/>
  <c r="AM3" i="11"/>
  <c r="AL3" i="11"/>
  <c r="AK3" i="11"/>
  <c r="AF17" i="11"/>
  <c r="AF16" i="11"/>
  <c r="AF15" i="11"/>
  <c r="AF14" i="11"/>
  <c r="AF13" i="11"/>
  <c r="AF12" i="11"/>
  <c r="AF11" i="11"/>
  <c r="AF10" i="11"/>
  <c r="C31" i="11"/>
  <c r="C30" i="11"/>
  <c r="C29" i="11"/>
  <c r="C28" i="11"/>
  <c r="C27" i="11"/>
  <c r="C26" i="11"/>
  <c r="C25" i="11"/>
  <c r="B25" i="11"/>
  <c r="B26" i="11" s="1"/>
  <c r="B27" i="11" s="1"/>
  <c r="B28" i="11" s="1"/>
  <c r="B29" i="11" s="1"/>
  <c r="B30" i="11" s="1"/>
  <c r="B31" i="11" s="1"/>
  <c r="B32" i="11" s="1"/>
  <c r="B33" i="11" s="1"/>
  <c r="C24" i="11"/>
  <c r="P17" i="11"/>
  <c r="L17" i="11"/>
  <c r="N17" i="11" s="1"/>
  <c r="Q17" i="11" s="1"/>
  <c r="K17" i="11"/>
  <c r="P16" i="11"/>
  <c r="L16" i="11"/>
  <c r="N16" i="11" s="1"/>
  <c r="Q16" i="11" s="1"/>
  <c r="K16" i="11"/>
  <c r="P15" i="11"/>
  <c r="L15" i="11"/>
  <c r="K15" i="11"/>
  <c r="E15" i="11"/>
  <c r="P14" i="11"/>
  <c r="L14" i="11"/>
  <c r="K14" i="11"/>
  <c r="E14" i="11"/>
  <c r="P13" i="11"/>
  <c r="L13" i="11"/>
  <c r="K13" i="11"/>
  <c r="E13" i="11"/>
  <c r="P12" i="11"/>
  <c r="L12" i="11"/>
  <c r="K12" i="11"/>
  <c r="E12" i="11"/>
  <c r="P11" i="11"/>
  <c r="L11" i="11"/>
  <c r="K11" i="11"/>
  <c r="E11" i="11"/>
  <c r="P10" i="11"/>
  <c r="L10" i="11"/>
  <c r="K10" i="11"/>
  <c r="E10" i="11"/>
  <c r="B10" i="11"/>
  <c r="B11" i="11" s="1"/>
  <c r="B12" i="11" s="1"/>
  <c r="B13" i="11" s="1"/>
  <c r="B14" i="11" s="1"/>
  <c r="B15" i="11" s="1"/>
  <c r="B16" i="11" s="1"/>
  <c r="B17" i="11" s="1"/>
  <c r="B18" i="11" s="1"/>
  <c r="P9" i="11"/>
  <c r="L9" i="11"/>
  <c r="K9" i="11"/>
  <c r="E9" i="11"/>
  <c r="Q19" i="5"/>
  <c r="W3" i="5"/>
  <c r="R27" i="10" l="1"/>
  <c r="R24" i="10"/>
  <c r="R25" i="10"/>
  <c r="R26" i="10"/>
  <c r="M10" i="10"/>
  <c r="M13" i="11"/>
  <c r="O13" i="11" s="1"/>
  <c r="R13" i="11" s="1"/>
  <c r="AS6" i="11"/>
  <c r="X26" i="11" s="1"/>
  <c r="AS7" i="11"/>
  <c r="Y27" i="11" s="1"/>
  <c r="AS8" i="11"/>
  <c r="Y28" i="11" s="1"/>
  <c r="AS3" i="11"/>
  <c r="Z23" i="11" s="1"/>
  <c r="AS4" i="11"/>
  <c r="AD24" i="11" s="1"/>
  <c r="AS5" i="11"/>
  <c r="AA25" i="11" s="1"/>
  <c r="N11" i="11"/>
  <c r="Q11" i="11" s="1"/>
  <c r="N14" i="11"/>
  <c r="Q14" i="11" s="1"/>
  <c r="M16" i="11"/>
  <c r="M9" i="11"/>
  <c r="N15" i="11"/>
  <c r="Q15" i="11" s="1"/>
  <c r="M15" i="11"/>
  <c r="O15" i="11" s="1"/>
  <c r="R15" i="11" s="1"/>
  <c r="M10" i="11"/>
  <c r="M14" i="11"/>
  <c r="M12" i="11"/>
  <c r="O12" i="11" s="1"/>
  <c r="R12" i="11" s="1"/>
  <c r="M17" i="11"/>
  <c r="N9" i="11"/>
  <c r="Q9" i="11" s="1"/>
  <c r="M11" i="11"/>
  <c r="N12" i="11"/>
  <c r="Q12" i="11" s="1"/>
  <c r="N10" i="11"/>
  <c r="Q10" i="11" s="1"/>
  <c r="N13" i="11"/>
  <c r="Q13" i="11" s="1"/>
  <c r="AB26" i="11" l="1"/>
  <c r="AB24" i="11"/>
  <c r="X24" i="11"/>
  <c r="Y29" i="11"/>
  <c r="Z25" i="11"/>
  <c r="AA23" i="11"/>
  <c r="Z29" i="11"/>
  <c r="AB23" i="11"/>
  <c r="Y23" i="11"/>
  <c r="AE23" i="11"/>
  <c r="X29" i="11"/>
  <c r="AA26" i="11"/>
  <c r="Y25" i="11"/>
  <c r="AB27" i="11"/>
  <c r="AD28" i="11"/>
  <c r="AE27" i="11"/>
  <c r="X25" i="11"/>
  <c r="AC27" i="11"/>
  <c r="Z26" i="11"/>
  <c r="AC28" i="11"/>
  <c r="AE26" i="11"/>
  <c r="AC24" i="11"/>
  <c r="Y26" i="11"/>
  <c r="AD27" i="11"/>
  <c r="AE25" i="11"/>
  <c r="Z27" i="11"/>
  <c r="AB28" i="11"/>
  <c r="AE24" i="11"/>
  <c r="AA24" i="11"/>
  <c r="AC25" i="11"/>
  <c r="X27" i="11"/>
  <c r="AA28" i="11"/>
  <c r="AD25" i="11"/>
  <c r="AC23" i="11"/>
  <c r="AA29" i="11"/>
  <c r="AC29" i="11"/>
  <c r="Z24" i="11"/>
  <c r="AB25" i="11"/>
  <c r="AD26" i="11"/>
  <c r="AB29" i="11"/>
  <c r="AA27" i="11"/>
  <c r="AE28" i="11"/>
  <c r="Y43" i="11" s="1"/>
  <c r="AA43" i="11" s="1"/>
  <c r="Z28" i="11"/>
  <c r="Y24" i="11"/>
  <c r="AC26" i="11"/>
  <c r="X28" i="11"/>
  <c r="AD23" i="11"/>
  <c r="O10" i="11"/>
  <c r="R10" i="11" s="1"/>
  <c r="S10" i="11" s="1"/>
  <c r="D25" i="11" s="1"/>
  <c r="O11" i="11"/>
  <c r="R11" i="11" s="1"/>
  <c r="S11" i="11" s="1"/>
  <c r="D26" i="11" s="1"/>
  <c r="AB31" i="11"/>
  <c r="AA31" i="11"/>
  <c r="Z31" i="11"/>
  <c r="Y31" i="11"/>
  <c r="X31" i="11"/>
  <c r="AC31" i="11"/>
  <c r="AD31" i="11"/>
  <c r="O9" i="11"/>
  <c r="R9" i="11" s="1"/>
  <c r="S9" i="11" s="1"/>
  <c r="D24" i="11" s="1"/>
  <c r="O16" i="11"/>
  <c r="R16" i="11" s="1"/>
  <c r="S16" i="11" s="1"/>
  <c r="D31" i="11" s="1"/>
  <c r="O17" i="11"/>
  <c r="R17" i="11" s="1"/>
  <c r="S17" i="11" s="1"/>
  <c r="D32" i="11" s="1"/>
  <c r="AC30" i="11" s="1"/>
  <c r="O14" i="11"/>
  <c r="R14" i="11" s="1"/>
  <c r="S14" i="11" s="1"/>
  <c r="D29" i="11" s="1"/>
  <c r="S13" i="11"/>
  <c r="D28" i="11" s="1"/>
  <c r="S15" i="11"/>
  <c r="D30" i="11" s="1"/>
  <c r="S12" i="11"/>
  <c r="D27" i="11" s="1"/>
  <c r="X36" i="11" l="1"/>
  <c r="Z36" i="11" s="1"/>
  <c r="X38" i="11"/>
  <c r="Z38" i="11" s="1"/>
  <c r="X39" i="11"/>
  <c r="Z39" i="11" s="1"/>
  <c r="Y41" i="11"/>
  <c r="AA41" i="11" s="1"/>
  <c r="X41" i="11"/>
  <c r="Z41" i="11" s="1"/>
  <c r="X43" i="11"/>
  <c r="Z43" i="11" s="1"/>
  <c r="X37" i="11"/>
  <c r="Z37" i="11" s="1"/>
  <c r="X40" i="11"/>
  <c r="Z40" i="11" s="1"/>
  <c r="X42" i="11"/>
  <c r="Z42" i="11" s="1"/>
  <c r="X30" i="11"/>
  <c r="Y36" i="11" s="1"/>
  <c r="AA36" i="11" s="1"/>
  <c r="Y30" i="11"/>
  <c r="Y37" i="11" s="1"/>
  <c r="AA37" i="11" s="1"/>
  <c r="Z30" i="11"/>
  <c r="Y38" i="11" s="1"/>
  <c r="AA38" i="11" s="1"/>
  <c r="AA30" i="11"/>
  <c r="Y39" i="11" s="1"/>
  <c r="AA39" i="11" s="1"/>
  <c r="AB30" i="11"/>
  <c r="Y40" i="11" s="1"/>
  <c r="AA40" i="11" s="1"/>
  <c r="AD30" i="11"/>
  <c r="Y42" i="11" s="1"/>
  <c r="AA42" i="11" s="1"/>
  <c r="E17" i="10" l="1"/>
  <c r="P17" i="10" s="1"/>
  <c r="E18" i="10"/>
  <c r="E9" i="10"/>
  <c r="I9" i="10" s="1"/>
  <c r="L9" i="10" s="1"/>
  <c r="E10" i="10"/>
  <c r="F10" i="10"/>
  <c r="L11" i="10"/>
  <c r="R11" i="10" s="1"/>
  <c r="L12" i="10"/>
  <c r="R12" i="10" s="1"/>
  <c r="N12" i="10"/>
  <c r="A50" i="5"/>
  <c r="B137" i="5"/>
  <c r="C137" i="5"/>
  <c r="D137" i="5"/>
  <c r="E137" i="5"/>
  <c r="F137" i="5"/>
  <c r="G137" i="5"/>
  <c r="H137" i="5"/>
  <c r="I137" i="5"/>
  <c r="J137" i="5"/>
  <c r="K137" i="5"/>
  <c r="L137" i="5"/>
  <c r="M137" i="5"/>
  <c r="A51" i="5"/>
  <c r="A138" i="5" s="1"/>
  <c r="A52" i="5"/>
  <c r="A139" i="5" s="1"/>
  <c r="A53" i="5"/>
  <c r="A140" i="5" s="1"/>
  <c r="A54" i="5"/>
  <c r="A141" i="5" s="1"/>
  <c r="B138" i="5"/>
  <c r="C138" i="5"/>
  <c r="D138" i="5"/>
  <c r="E138" i="5"/>
  <c r="F138" i="5"/>
  <c r="G138" i="5"/>
  <c r="H138" i="5"/>
  <c r="I138" i="5"/>
  <c r="J138" i="5"/>
  <c r="K138" i="5"/>
  <c r="L138" i="5"/>
  <c r="M138" i="5"/>
  <c r="B139" i="5"/>
  <c r="C139" i="5"/>
  <c r="D139" i="5"/>
  <c r="E139" i="5"/>
  <c r="F139" i="5"/>
  <c r="G139" i="5"/>
  <c r="H139" i="5"/>
  <c r="I139" i="5"/>
  <c r="J139" i="5"/>
  <c r="K139" i="5"/>
  <c r="L139" i="5"/>
  <c r="M139" i="5"/>
  <c r="B140" i="5"/>
  <c r="C140" i="5"/>
  <c r="D140" i="5"/>
  <c r="E140" i="5"/>
  <c r="F140" i="5"/>
  <c r="G140" i="5"/>
  <c r="H140" i="5"/>
  <c r="I140" i="5"/>
  <c r="J140" i="5"/>
  <c r="K140" i="5"/>
  <c r="L140" i="5"/>
  <c r="M140" i="5"/>
  <c r="B141" i="5"/>
  <c r="C141" i="5"/>
  <c r="D141" i="5"/>
  <c r="E141" i="5"/>
  <c r="F141" i="5"/>
  <c r="G141" i="5"/>
  <c r="H141" i="5"/>
  <c r="I141" i="5"/>
  <c r="J141" i="5"/>
  <c r="K141" i="5"/>
  <c r="L141" i="5"/>
  <c r="M141" i="5"/>
  <c r="A55" i="5"/>
  <c r="A142" i="5" s="1"/>
  <c r="B142" i="5"/>
  <c r="C142" i="5"/>
  <c r="D142" i="5"/>
  <c r="E142" i="5"/>
  <c r="F142" i="5"/>
  <c r="G142" i="5"/>
  <c r="H142" i="5"/>
  <c r="I142" i="5"/>
  <c r="J142" i="5"/>
  <c r="K142" i="5"/>
  <c r="L142" i="5"/>
  <c r="M142" i="5"/>
  <c r="A56" i="5"/>
  <c r="B143" i="5"/>
  <c r="C143" i="5"/>
  <c r="D143" i="5"/>
  <c r="E143" i="5"/>
  <c r="F143" i="5"/>
  <c r="G143" i="5"/>
  <c r="H143" i="5"/>
  <c r="I143" i="5"/>
  <c r="J143" i="5"/>
  <c r="K143" i="5"/>
  <c r="L143" i="5"/>
  <c r="M143" i="5"/>
  <c r="B144" i="5"/>
  <c r="C144" i="5"/>
  <c r="D144" i="5"/>
  <c r="E144" i="5"/>
  <c r="F144" i="5"/>
  <c r="G144" i="5"/>
  <c r="H144" i="5"/>
  <c r="I144" i="5"/>
  <c r="J144" i="5"/>
  <c r="K144" i="5"/>
  <c r="L144" i="5"/>
  <c r="M144" i="5"/>
  <c r="B193" i="5"/>
  <c r="Q3" i="5"/>
  <c r="AQ6" i="6"/>
  <c r="AQ7" i="6"/>
  <c r="AT6" i="6"/>
  <c r="AQ4" i="6"/>
  <c r="AQ3" i="6"/>
  <c r="AQ8" i="6"/>
  <c r="AT7" i="6"/>
  <c r="AS6" i="6"/>
  <c r="AS7" i="6"/>
  <c r="AQ9" i="6"/>
  <c r="AT8" i="6"/>
  <c r="AS8" i="6"/>
  <c r="AQ10" i="6"/>
  <c r="AT9" i="6"/>
  <c r="AS9" i="6"/>
  <c r="AQ5" i="6"/>
  <c r="AT5" i="6"/>
  <c r="AS5" i="6"/>
  <c r="AT3" i="6"/>
  <c r="AS3" i="6"/>
  <c r="AT4" i="6"/>
  <c r="AS4" i="6"/>
  <c r="AT10" i="6"/>
  <c r="AS10" i="6"/>
  <c r="AS11" i="6"/>
  <c r="H90" i="5"/>
  <c r="G90" i="5"/>
  <c r="AJ1" i="6"/>
  <c r="AD1" i="6"/>
  <c r="X1" i="6"/>
  <c r="D46" i="5"/>
  <c r="D45" i="5"/>
  <c r="D44" i="5"/>
  <c r="B145" i="5"/>
  <c r="C145" i="5"/>
  <c r="D145" i="5"/>
  <c r="E145" i="5"/>
  <c r="F145" i="5"/>
  <c r="G145" i="5"/>
  <c r="H145" i="5"/>
  <c r="I145" i="5"/>
  <c r="J145" i="5"/>
  <c r="K145" i="5"/>
  <c r="L145" i="5"/>
  <c r="M145" i="5"/>
  <c r="B146" i="5"/>
  <c r="C146" i="5"/>
  <c r="D146" i="5"/>
  <c r="E146" i="5"/>
  <c r="F146" i="5"/>
  <c r="G146" i="5"/>
  <c r="H146" i="5"/>
  <c r="I146" i="5"/>
  <c r="J146" i="5"/>
  <c r="K146" i="5"/>
  <c r="L146" i="5"/>
  <c r="M146" i="5"/>
  <c r="B147" i="5"/>
  <c r="C147" i="5"/>
  <c r="D147" i="5"/>
  <c r="E147" i="5"/>
  <c r="F147" i="5"/>
  <c r="G147" i="5"/>
  <c r="H147" i="5"/>
  <c r="I147" i="5"/>
  <c r="J147" i="5"/>
  <c r="K147" i="5"/>
  <c r="L147" i="5"/>
  <c r="M147" i="5"/>
  <c r="B148" i="5"/>
  <c r="C148" i="5"/>
  <c r="D148" i="5"/>
  <c r="E148" i="5"/>
  <c r="F148" i="5"/>
  <c r="G148" i="5"/>
  <c r="H148" i="5"/>
  <c r="I148" i="5"/>
  <c r="J148" i="5"/>
  <c r="K148" i="5"/>
  <c r="L148" i="5"/>
  <c r="M148" i="5"/>
  <c r="AR6" i="6"/>
  <c r="B44" i="5" s="1"/>
  <c r="AR3" i="6"/>
  <c r="B41" i="5" s="1"/>
  <c r="AR7" i="6"/>
  <c r="B45" i="5" s="1"/>
  <c r="K54" i="5" s="1"/>
  <c r="H74" i="5"/>
  <c r="H75" i="5"/>
  <c r="H77" i="5"/>
  <c r="G77" i="5"/>
  <c r="H76" i="5"/>
  <c r="G76" i="5"/>
  <c r="H80" i="5"/>
  <c r="H79" i="5"/>
  <c r="G80" i="5"/>
  <c r="G79" i="5"/>
  <c r="H82" i="5"/>
  <c r="G82" i="5"/>
  <c r="H81" i="5"/>
  <c r="G81" i="5"/>
  <c r="H83" i="5"/>
  <c r="G83" i="5"/>
  <c r="H86" i="5"/>
  <c r="G86" i="5"/>
  <c r="H89" i="5"/>
  <c r="G89" i="5"/>
  <c r="H88" i="5"/>
  <c r="G88" i="5"/>
  <c r="F88" i="5"/>
  <c r="A144" i="5"/>
  <c r="A145" i="5"/>
  <c r="A146" i="5"/>
  <c r="A147" i="5"/>
  <c r="A148" i="5"/>
  <c r="A160" i="5"/>
  <c r="A161" i="5"/>
  <c r="A162" i="5"/>
  <c r="A163" i="5"/>
  <c r="A164" i="5"/>
  <c r="A165" i="5"/>
  <c r="A166" i="5"/>
  <c r="B192" i="5"/>
  <c r="BT7" i="6"/>
  <c r="Q16" i="5"/>
  <c r="BW5" i="6" s="1"/>
  <c r="W19" i="5" s="1"/>
  <c r="A197" i="5"/>
  <c r="A198" i="5"/>
  <c r="B197" i="5"/>
  <c r="C193" i="5"/>
  <c r="D193" i="5"/>
  <c r="E193" i="5"/>
  <c r="F193" i="5"/>
  <c r="G193" i="5"/>
  <c r="H193" i="5"/>
  <c r="B198" i="5"/>
  <c r="I193" i="5"/>
  <c r="J193" i="5"/>
  <c r="K193" i="5"/>
  <c r="L193" i="5"/>
  <c r="M193" i="5"/>
  <c r="N193" i="5"/>
  <c r="D170" i="5"/>
  <c r="D192" i="5" s="1"/>
  <c r="E192" i="5"/>
  <c r="F192" i="5"/>
  <c r="G192" i="5"/>
  <c r="H192" i="5"/>
  <c r="I192" i="5"/>
  <c r="J192" i="5"/>
  <c r="K192" i="5"/>
  <c r="L192" i="5"/>
  <c r="M192" i="5"/>
  <c r="N192" i="5"/>
  <c r="C170" i="5"/>
  <c r="C192" i="5" s="1"/>
  <c r="BU3" i="6"/>
  <c r="AR5" i="6"/>
  <c r="B43" i="5" s="1"/>
  <c r="AR4" i="6"/>
  <c r="B42" i="5" s="1"/>
  <c r="AR9" i="6"/>
  <c r="B47" i="5" s="1"/>
  <c r="F50" i="5" s="1"/>
  <c r="AE24" i="5" s="1"/>
  <c r="AR8" i="6"/>
  <c r="B46" i="5" s="1"/>
  <c r="E54" i="5" s="1"/>
  <c r="AR10" i="6"/>
  <c r="B48" i="5" s="1"/>
  <c r="K52" i="5" s="1"/>
  <c r="E51" i="5"/>
  <c r="F51" i="5"/>
  <c r="G51" i="5"/>
  <c r="H51" i="5"/>
  <c r="M51" i="5"/>
  <c r="N51" i="5"/>
  <c r="E52" i="5"/>
  <c r="F52" i="5"/>
  <c r="G52" i="5"/>
  <c r="H52" i="5"/>
  <c r="L52" i="5"/>
  <c r="M52" i="5"/>
  <c r="N52" i="5"/>
  <c r="E53" i="5"/>
  <c r="F53" i="5"/>
  <c r="G53" i="5"/>
  <c r="H53" i="5"/>
  <c r="K53" i="5"/>
  <c r="L53" i="5"/>
  <c r="M53" i="5"/>
  <c r="N53" i="5"/>
  <c r="F54" i="5"/>
  <c r="G54" i="5"/>
  <c r="H54" i="5"/>
  <c r="L54" i="5"/>
  <c r="M54" i="5"/>
  <c r="N54" i="5"/>
  <c r="E55" i="5"/>
  <c r="F55" i="5"/>
  <c r="G55" i="5"/>
  <c r="H55" i="5"/>
  <c r="K55" i="5"/>
  <c r="L55" i="5"/>
  <c r="M55" i="5"/>
  <c r="N55" i="5"/>
  <c r="E56" i="5"/>
  <c r="F56" i="5"/>
  <c r="G56" i="5"/>
  <c r="H56" i="5"/>
  <c r="K56" i="5"/>
  <c r="L56" i="5"/>
  <c r="M56" i="5"/>
  <c r="N56" i="5"/>
  <c r="G50" i="5"/>
  <c r="AE25" i="5" s="1"/>
  <c r="H50" i="5"/>
  <c r="N50" i="5"/>
  <c r="AE18" i="5" s="1"/>
  <c r="M34" i="5"/>
  <c r="M35" i="5"/>
  <c r="M36" i="5"/>
  <c r="M37" i="5"/>
  <c r="M38" i="5"/>
  <c r="M39" i="5"/>
  <c r="M40" i="5"/>
  <c r="BE11" i="6"/>
  <c r="A26" i="5"/>
  <c r="A30" i="5"/>
  <c r="A31" i="5"/>
  <c r="A33" i="5"/>
  <c r="A34" i="5"/>
  <c r="A35" i="5"/>
  <c r="A36" i="5"/>
  <c r="A37" i="5"/>
  <c r="A126" i="5"/>
  <c r="A127" i="5"/>
  <c r="A129" i="5"/>
  <c r="A130" i="5"/>
  <c r="A131" i="5"/>
  <c r="A132" i="5"/>
  <c r="A133" i="5"/>
  <c r="A122" i="5"/>
  <c r="A112" i="5"/>
  <c r="A113" i="5"/>
  <c r="A115" i="5"/>
  <c r="A116" i="5"/>
  <c r="A117" i="5"/>
  <c r="A118" i="5"/>
  <c r="A119" i="5"/>
  <c r="A105" i="5"/>
  <c r="A108" i="5"/>
  <c r="A94" i="5"/>
  <c r="A102" i="5"/>
  <c r="A103" i="5"/>
  <c r="A104" i="5"/>
  <c r="A98" i="5"/>
  <c r="A99" i="5"/>
  <c r="A101" i="5"/>
  <c r="R6" i="5"/>
  <c r="R7" i="5"/>
  <c r="R8" i="5"/>
  <c r="R9" i="5"/>
  <c r="R10" i="5"/>
  <c r="R11" i="5"/>
  <c r="R12" i="5"/>
  <c r="R13" i="5"/>
  <c r="E65" i="5"/>
  <c r="E66" i="5"/>
  <c r="E67" i="5"/>
  <c r="E68" i="5"/>
  <c r="E69" i="5"/>
  <c r="E64" i="5"/>
  <c r="AE26" i="5"/>
  <c r="E151" i="6"/>
  <c r="D151" i="6"/>
  <c r="C151" i="6"/>
  <c r="B151" i="6"/>
  <c r="A151" i="6"/>
  <c r="A4" i="6"/>
  <c r="B4" i="6"/>
  <c r="C4" i="6"/>
  <c r="D4" i="6"/>
  <c r="E4" i="6"/>
  <c r="A5" i="6"/>
  <c r="B5" i="6"/>
  <c r="C5" i="6"/>
  <c r="D5" i="6"/>
  <c r="E5" i="6"/>
  <c r="A6" i="6"/>
  <c r="B6" i="6"/>
  <c r="C6" i="6"/>
  <c r="D6" i="6"/>
  <c r="E6" i="6"/>
  <c r="A7" i="6"/>
  <c r="B7" i="6"/>
  <c r="C7" i="6"/>
  <c r="D7" i="6"/>
  <c r="E7" i="6"/>
  <c r="A8" i="6"/>
  <c r="B8" i="6"/>
  <c r="C8" i="6"/>
  <c r="D8" i="6"/>
  <c r="E8" i="6"/>
  <c r="A9" i="6"/>
  <c r="B9" i="6"/>
  <c r="C9" i="6"/>
  <c r="D9" i="6"/>
  <c r="E9" i="6"/>
  <c r="A10" i="6"/>
  <c r="B10" i="6"/>
  <c r="C10" i="6"/>
  <c r="D10" i="6"/>
  <c r="E10" i="6"/>
  <c r="A11" i="6"/>
  <c r="B11" i="6"/>
  <c r="C11" i="6"/>
  <c r="D11" i="6"/>
  <c r="E11" i="6"/>
  <c r="A12" i="6"/>
  <c r="B12" i="6"/>
  <c r="C12" i="6"/>
  <c r="D12" i="6"/>
  <c r="E12" i="6"/>
  <c r="A13" i="6"/>
  <c r="B13" i="6"/>
  <c r="C13" i="6"/>
  <c r="D13" i="6"/>
  <c r="E13" i="6"/>
  <c r="A14" i="6"/>
  <c r="B14" i="6"/>
  <c r="C14" i="6"/>
  <c r="D14" i="6"/>
  <c r="E14" i="6"/>
  <c r="A15" i="6"/>
  <c r="B15" i="6"/>
  <c r="C15" i="6"/>
  <c r="D15" i="6"/>
  <c r="E15" i="6"/>
  <c r="A16" i="6"/>
  <c r="B16" i="6"/>
  <c r="C16" i="6"/>
  <c r="D16" i="6"/>
  <c r="E16" i="6"/>
  <c r="A17" i="6"/>
  <c r="B17" i="6"/>
  <c r="C17" i="6"/>
  <c r="D17" i="6"/>
  <c r="E17" i="6"/>
  <c r="A18" i="6"/>
  <c r="B18" i="6"/>
  <c r="C18" i="6"/>
  <c r="D18" i="6"/>
  <c r="E18" i="6"/>
  <c r="A19" i="6"/>
  <c r="B19" i="6"/>
  <c r="C19" i="6"/>
  <c r="D19" i="6"/>
  <c r="E19" i="6"/>
  <c r="A20" i="6"/>
  <c r="B20" i="6"/>
  <c r="C20" i="6"/>
  <c r="D20" i="6"/>
  <c r="E20" i="6"/>
  <c r="A21" i="6"/>
  <c r="B21" i="6"/>
  <c r="C21" i="6"/>
  <c r="D21" i="6"/>
  <c r="E21" i="6"/>
  <c r="A22" i="6"/>
  <c r="B22" i="6"/>
  <c r="C22" i="6"/>
  <c r="D22" i="6"/>
  <c r="E22" i="6"/>
  <c r="A23" i="6"/>
  <c r="B23" i="6"/>
  <c r="C23" i="6"/>
  <c r="D23" i="6"/>
  <c r="E23" i="6"/>
  <c r="A24" i="6"/>
  <c r="B24" i="6"/>
  <c r="C24" i="6"/>
  <c r="D24" i="6"/>
  <c r="E24" i="6"/>
  <c r="A25" i="6"/>
  <c r="B25" i="6"/>
  <c r="C25" i="6"/>
  <c r="D25" i="6"/>
  <c r="E25" i="6"/>
  <c r="A26" i="6"/>
  <c r="B26" i="6"/>
  <c r="C26" i="6"/>
  <c r="D26" i="6"/>
  <c r="E26" i="6"/>
  <c r="A27" i="6"/>
  <c r="B27" i="6"/>
  <c r="C27" i="6"/>
  <c r="D27" i="6"/>
  <c r="E27" i="6"/>
  <c r="A28" i="6"/>
  <c r="B28" i="6"/>
  <c r="C28" i="6"/>
  <c r="D28" i="6"/>
  <c r="E28" i="6"/>
  <c r="A29" i="6"/>
  <c r="B29" i="6"/>
  <c r="C29" i="6"/>
  <c r="D29" i="6"/>
  <c r="E29" i="6"/>
  <c r="A30" i="6"/>
  <c r="B30" i="6"/>
  <c r="C30" i="6"/>
  <c r="D30" i="6"/>
  <c r="E30" i="6"/>
  <c r="A31" i="6"/>
  <c r="B31" i="6"/>
  <c r="C31" i="6"/>
  <c r="D31" i="6"/>
  <c r="E31" i="6"/>
  <c r="A32" i="6"/>
  <c r="B32" i="6"/>
  <c r="C32" i="6"/>
  <c r="D32" i="6"/>
  <c r="E32" i="6"/>
  <c r="A33" i="6"/>
  <c r="B33" i="6"/>
  <c r="C33" i="6"/>
  <c r="D33" i="6"/>
  <c r="E33" i="6"/>
  <c r="A34" i="6"/>
  <c r="B34" i="6"/>
  <c r="C34" i="6"/>
  <c r="D34" i="6"/>
  <c r="E34" i="6"/>
  <c r="A35" i="6"/>
  <c r="B35" i="6"/>
  <c r="C35" i="6"/>
  <c r="D35" i="6"/>
  <c r="E35" i="6"/>
  <c r="A36" i="6"/>
  <c r="B36" i="6"/>
  <c r="C36" i="6"/>
  <c r="D36" i="6"/>
  <c r="E36" i="6"/>
  <c r="A37" i="6"/>
  <c r="B37" i="6"/>
  <c r="C37" i="6"/>
  <c r="D37" i="6"/>
  <c r="E37" i="6"/>
  <c r="A38" i="6"/>
  <c r="B38" i="6"/>
  <c r="C38" i="6"/>
  <c r="D38" i="6"/>
  <c r="E38" i="6"/>
  <c r="A39" i="6"/>
  <c r="B39" i="6"/>
  <c r="C39" i="6"/>
  <c r="D39" i="6"/>
  <c r="E39" i="6"/>
  <c r="A40" i="6"/>
  <c r="B40" i="6"/>
  <c r="C40" i="6"/>
  <c r="D40" i="6"/>
  <c r="E40" i="6"/>
  <c r="A41" i="6"/>
  <c r="B41" i="6"/>
  <c r="C41" i="6"/>
  <c r="D41" i="6"/>
  <c r="E41" i="6"/>
  <c r="A42" i="6"/>
  <c r="B42" i="6"/>
  <c r="C42" i="6"/>
  <c r="D42" i="6"/>
  <c r="E42" i="6"/>
  <c r="A43" i="6"/>
  <c r="B43" i="6"/>
  <c r="C43" i="6"/>
  <c r="D43" i="6"/>
  <c r="E43" i="6"/>
  <c r="A44" i="6"/>
  <c r="B44" i="6"/>
  <c r="C44" i="6"/>
  <c r="D44" i="6"/>
  <c r="E44" i="6"/>
  <c r="A45" i="6"/>
  <c r="B45" i="6"/>
  <c r="C45" i="6"/>
  <c r="D45" i="6"/>
  <c r="E45" i="6"/>
  <c r="A46" i="6"/>
  <c r="B46" i="6"/>
  <c r="C46" i="6"/>
  <c r="D46" i="6"/>
  <c r="E46" i="6"/>
  <c r="A47" i="6"/>
  <c r="B47" i="6"/>
  <c r="C47" i="6"/>
  <c r="D47" i="6"/>
  <c r="E47" i="6"/>
  <c r="A48" i="6"/>
  <c r="B48" i="6"/>
  <c r="C48" i="6"/>
  <c r="D48" i="6"/>
  <c r="E48" i="6"/>
  <c r="A49" i="6"/>
  <c r="B49" i="6"/>
  <c r="C49" i="6"/>
  <c r="D49" i="6"/>
  <c r="E49" i="6"/>
  <c r="A50" i="6"/>
  <c r="B50" i="6"/>
  <c r="C50" i="6"/>
  <c r="D50" i="6"/>
  <c r="E50" i="6"/>
  <c r="A51" i="6"/>
  <c r="B51" i="6"/>
  <c r="C51" i="6"/>
  <c r="D51" i="6"/>
  <c r="E51" i="6"/>
  <c r="A52" i="6"/>
  <c r="B52" i="6"/>
  <c r="C52" i="6"/>
  <c r="D52" i="6"/>
  <c r="E52" i="6"/>
  <c r="A53" i="6"/>
  <c r="B53" i="6"/>
  <c r="C53" i="6"/>
  <c r="D53" i="6"/>
  <c r="E53" i="6"/>
  <c r="A54" i="6"/>
  <c r="B54" i="6"/>
  <c r="C54" i="6"/>
  <c r="D54" i="6"/>
  <c r="E54" i="6"/>
  <c r="A55" i="6"/>
  <c r="B55" i="6"/>
  <c r="C55" i="6"/>
  <c r="D55" i="6"/>
  <c r="E55" i="6"/>
  <c r="A56" i="6"/>
  <c r="B56" i="6"/>
  <c r="C56" i="6"/>
  <c r="D56" i="6"/>
  <c r="E56" i="6"/>
  <c r="A57" i="6"/>
  <c r="B57" i="6"/>
  <c r="C57" i="6"/>
  <c r="D57" i="6"/>
  <c r="E57" i="6"/>
  <c r="A58" i="6"/>
  <c r="B58" i="6"/>
  <c r="C58" i="6"/>
  <c r="D58" i="6"/>
  <c r="E58" i="6"/>
  <c r="A59" i="6"/>
  <c r="B59" i="6"/>
  <c r="C59" i="6"/>
  <c r="D59" i="6"/>
  <c r="E59" i="6"/>
  <c r="A60" i="6"/>
  <c r="B60" i="6"/>
  <c r="C60" i="6"/>
  <c r="D60" i="6"/>
  <c r="E60" i="6"/>
  <c r="A61" i="6"/>
  <c r="B61" i="6"/>
  <c r="C61" i="6"/>
  <c r="D61" i="6"/>
  <c r="E61" i="6"/>
  <c r="A62" i="6"/>
  <c r="B62" i="6"/>
  <c r="C62" i="6"/>
  <c r="D62" i="6"/>
  <c r="E62" i="6"/>
  <c r="A63" i="6"/>
  <c r="B63" i="6"/>
  <c r="C63" i="6"/>
  <c r="D63" i="6"/>
  <c r="E63" i="6"/>
  <c r="A64" i="6"/>
  <c r="B64" i="6"/>
  <c r="C64" i="6"/>
  <c r="D64" i="6"/>
  <c r="E64" i="6"/>
  <c r="A65" i="6"/>
  <c r="B65" i="6"/>
  <c r="C65" i="6"/>
  <c r="D65" i="6"/>
  <c r="E65" i="6"/>
  <c r="A66" i="6"/>
  <c r="B66" i="6"/>
  <c r="C66" i="6"/>
  <c r="D66" i="6"/>
  <c r="E66" i="6"/>
  <c r="A67" i="6"/>
  <c r="B67" i="6"/>
  <c r="C67" i="6"/>
  <c r="D67" i="6"/>
  <c r="E67" i="6"/>
  <c r="A68" i="6"/>
  <c r="B68" i="6"/>
  <c r="C68" i="6"/>
  <c r="D68" i="6"/>
  <c r="E68" i="6"/>
  <c r="A69" i="6"/>
  <c r="B69" i="6"/>
  <c r="C69" i="6"/>
  <c r="D69" i="6"/>
  <c r="E69" i="6"/>
  <c r="A70" i="6"/>
  <c r="B70" i="6"/>
  <c r="C70" i="6"/>
  <c r="D70" i="6"/>
  <c r="E70" i="6"/>
  <c r="A71" i="6"/>
  <c r="B71" i="6"/>
  <c r="C71" i="6"/>
  <c r="D71" i="6"/>
  <c r="E71" i="6"/>
  <c r="A72" i="6"/>
  <c r="B72" i="6"/>
  <c r="C72" i="6"/>
  <c r="D72" i="6"/>
  <c r="E72" i="6"/>
  <c r="A73" i="6"/>
  <c r="B73" i="6"/>
  <c r="C73" i="6"/>
  <c r="D73" i="6"/>
  <c r="E73" i="6"/>
  <c r="A74" i="6"/>
  <c r="B74" i="6"/>
  <c r="C74" i="6"/>
  <c r="D74" i="6"/>
  <c r="E74" i="6"/>
  <c r="A75" i="6"/>
  <c r="B75" i="6"/>
  <c r="C75" i="6"/>
  <c r="D75" i="6"/>
  <c r="E75" i="6"/>
  <c r="A76" i="6"/>
  <c r="B76" i="6"/>
  <c r="C76" i="6"/>
  <c r="D76" i="6"/>
  <c r="E76" i="6"/>
  <c r="A77" i="6"/>
  <c r="B77" i="6"/>
  <c r="C77" i="6"/>
  <c r="D77" i="6"/>
  <c r="E77" i="6"/>
  <c r="A78" i="6"/>
  <c r="B78" i="6"/>
  <c r="C78" i="6"/>
  <c r="D78" i="6"/>
  <c r="E78" i="6"/>
  <c r="A79" i="6"/>
  <c r="B79" i="6"/>
  <c r="C79" i="6"/>
  <c r="D79" i="6"/>
  <c r="E79" i="6"/>
  <c r="A80" i="6"/>
  <c r="B80" i="6"/>
  <c r="C80" i="6"/>
  <c r="D80" i="6"/>
  <c r="E80" i="6"/>
  <c r="A81" i="6"/>
  <c r="B81" i="6"/>
  <c r="C81" i="6"/>
  <c r="D81" i="6"/>
  <c r="E81" i="6"/>
  <c r="A82" i="6"/>
  <c r="B82" i="6"/>
  <c r="C82" i="6"/>
  <c r="D82" i="6"/>
  <c r="E82" i="6"/>
  <c r="A83" i="6"/>
  <c r="B83" i="6"/>
  <c r="C83" i="6"/>
  <c r="D83" i="6"/>
  <c r="E83" i="6"/>
  <c r="A84" i="6"/>
  <c r="B84" i="6"/>
  <c r="C84" i="6"/>
  <c r="D84" i="6"/>
  <c r="E84" i="6"/>
  <c r="A85" i="6"/>
  <c r="B85" i="6"/>
  <c r="C85" i="6"/>
  <c r="D85" i="6"/>
  <c r="E85" i="6"/>
  <c r="A86" i="6"/>
  <c r="B86" i="6"/>
  <c r="C86" i="6"/>
  <c r="D86" i="6"/>
  <c r="E86" i="6"/>
  <c r="A87" i="6"/>
  <c r="B87" i="6"/>
  <c r="C87" i="6"/>
  <c r="D87" i="6"/>
  <c r="E87" i="6"/>
  <c r="A88" i="6"/>
  <c r="B88" i="6"/>
  <c r="C88" i="6"/>
  <c r="D88" i="6"/>
  <c r="E88" i="6"/>
  <c r="A89" i="6"/>
  <c r="B89" i="6"/>
  <c r="C89" i="6"/>
  <c r="D89" i="6"/>
  <c r="E89" i="6"/>
  <c r="A90" i="6"/>
  <c r="B90" i="6"/>
  <c r="C90" i="6"/>
  <c r="D90" i="6"/>
  <c r="E90" i="6"/>
  <c r="A91" i="6"/>
  <c r="B91" i="6"/>
  <c r="C91" i="6"/>
  <c r="D91" i="6"/>
  <c r="E91" i="6"/>
  <c r="A92" i="6"/>
  <c r="B92" i="6"/>
  <c r="C92" i="6"/>
  <c r="D92" i="6"/>
  <c r="E92" i="6"/>
  <c r="A93" i="6"/>
  <c r="B93" i="6"/>
  <c r="C93" i="6"/>
  <c r="D93" i="6"/>
  <c r="E93" i="6"/>
  <c r="A94" i="6"/>
  <c r="B94" i="6"/>
  <c r="C94" i="6"/>
  <c r="D94" i="6"/>
  <c r="E94" i="6"/>
  <c r="A95" i="6"/>
  <c r="B95" i="6"/>
  <c r="C95" i="6"/>
  <c r="D95" i="6"/>
  <c r="E95" i="6"/>
  <c r="A96" i="6"/>
  <c r="B96" i="6"/>
  <c r="C96" i="6"/>
  <c r="D96" i="6"/>
  <c r="E96" i="6"/>
  <c r="A97" i="6"/>
  <c r="B97" i="6"/>
  <c r="C97" i="6"/>
  <c r="D97" i="6"/>
  <c r="E97" i="6"/>
  <c r="A98" i="6"/>
  <c r="B98" i="6"/>
  <c r="C98" i="6"/>
  <c r="D98" i="6"/>
  <c r="E98" i="6"/>
  <c r="A99" i="6"/>
  <c r="B99" i="6"/>
  <c r="C99" i="6"/>
  <c r="D99" i="6"/>
  <c r="E99" i="6"/>
  <c r="A100" i="6"/>
  <c r="B100" i="6"/>
  <c r="C100" i="6"/>
  <c r="D100" i="6"/>
  <c r="E100" i="6"/>
  <c r="A101" i="6"/>
  <c r="B101" i="6"/>
  <c r="C101" i="6"/>
  <c r="D101" i="6"/>
  <c r="E101" i="6"/>
  <c r="A102" i="6"/>
  <c r="B102" i="6"/>
  <c r="C102" i="6"/>
  <c r="D102" i="6"/>
  <c r="E102" i="6"/>
  <c r="A103" i="6"/>
  <c r="B103" i="6"/>
  <c r="C103" i="6"/>
  <c r="D103" i="6"/>
  <c r="E103" i="6"/>
  <c r="A104" i="6"/>
  <c r="B104" i="6"/>
  <c r="C104" i="6"/>
  <c r="D104" i="6"/>
  <c r="E104" i="6"/>
  <c r="A105" i="6"/>
  <c r="B105" i="6"/>
  <c r="C105" i="6"/>
  <c r="D105" i="6"/>
  <c r="E105" i="6"/>
  <c r="A106" i="6"/>
  <c r="B106" i="6"/>
  <c r="C106" i="6"/>
  <c r="D106" i="6"/>
  <c r="E106" i="6"/>
  <c r="A107" i="6"/>
  <c r="B107" i="6"/>
  <c r="C107" i="6"/>
  <c r="D107" i="6"/>
  <c r="E107" i="6"/>
  <c r="A108" i="6"/>
  <c r="B108" i="6"/>
  <c r="C108" i="6"/>
  <c r="D108" i="6"/>
  <c r="E108" i="6"/>
  <c r="A109" i="6"/>
  <c r="B109" i="6"/>
  <c r="C109" i="6"/>
  <c r="D109" i="6"/>
  <c r="E109" i="6"/>
  <c r="A110" i="6"/>
  <c r="B110" i="6"/>
  <c r="C110" i="6"/>
  <c r="D110" i="6"/>
  <c r="E110" i="6"/>
  <c r="A111" i="6"/>
  <c r="B111" i="6"/>
  <c r="C111" i="6"/>
  <c r="D111" i="6"/>
  <c r="E111" i="6"/>
  <c r="A112" i="6"/>
  <c r="B112" i="6"/>
  <c r="C112" i="6"/>
  <c r="D112" i="6"/>
  <c r="E112" i="6"/>
  <c r="A113" i="6"/>
  <c r="B113" i="6"/>
  <c r="C113" i="6"/>
  <c r="D113" i="6"/>
  <c r="E113" i="6"/>
  <c r="A114" i="6"/>
  <c r="B114" i="6"/>
  <c r="C114" i="6"/>
  <c r="D114" i="6"/>
  <c r="E114" i="6"/>
  <c r="A115" i="6"/>
  <c r="B115" i="6"/>
  <c r="C115" i="6"/>
  <c r="D115" i="6"/>
  <c r="E115" i="6"/>
  <c r="A116" i="6"/>
  <c r="B116" i="6"/>
  <c r="C116" i="6"/>
  <c r="D116" i="6"/>
  <c r="E116" i="6"/>
  <c r="A117" i="6"/>
  <c r="B117" i="6"/>
  <c r="C117" i="6"/>
  <c r="D117" i="6"/>
  <c r="E117" i="6"/>
  <c r="A118" i="6"/>
  <c r="B118" i="6"/>
  <c r="C118" i="6"/>
  <c r="D118" i="6"/>
  <c r="E118" i="6"/>
  <c r="A119" i="6"/>
  <c r="B119" i="6"/>
  <c r="C119" i="6"/>
  <c r="D119" i="6"/>
  <c r="E119" i="6"/>
  <c r="A120" i="6"/>
  <c r="B120" i="6"/>
  <c r="C120" i="6"/>
  <c r="D120" i="6"/>
  <c r="E120" i="6"/>
  <c r="A121" i="6"/>
  <c r="B121" i="6"/>
  <c r="C121" i="6"/>
  <c r="D121" i="6"/>
  <c r="E121" i="6"/>
  <c r="A122" i="6"/>
  <c r="B122" i="6"/>
  <c r="C122" i="6"/>
  <c r="D122" i="6"/>
  <c r="E122" i="6"/>
  <c r="A123" i="6"/>
  <c r="B123" i="6"/>
  <c r="C123" i="6"/>
  <c r="D123" i="6"/>
  <c r="E123" i="6"/>
  <c r="A124" i="6"/>
  <c r="B124" i="6"/>
  <c r="C124" i="6"/>
  <c r="D124" i="6"/>
  <c r="E124" i="6"/>
  <c r="A125" i="6"/>
  <c r="B125" i="6"/>
  <c r="C125" i="6"/>
  <c r="D125" i="6"/>
  <c r="E125" i="6"/>
  <c r="A126" i="6"/>
  <c r="B126" i="6"/>
  <c r="C126" i="6"/>
  <c r="D126" i="6"/>
  <c r="E126" i="6"/>
  <c r="A127" i="6"/>
  <c r="B127" i="6"/>
  <c r="C127" i="6"/>
  <c r="D127" i="6"/>
  <c r="E127" i="6"/>
  <c r="A128" i="6"/>
  <c r="B128" i="6"/>
  <c r="C128" i="6"/>
  <c r="D128" i="6"/>
  <c r="E128" i="6"/>
  <c r="A129" i="6"/>
  <c r="B129" i="6"/>
  <c r="C129" i="6"/>
  <c r="D129" i="6"/>
  <c r="E129" i="6"/>
  <c r="A130" i="6"/>
  <c r="B130" i="6"/>
  <c r="C130" i="6"/>
  <c r="D130" i="6"/>
  <c r="E130" i="6"/>
  <c r="A131" i="6"/>
  <c r="B131" i="6"/>
  <c r="C131" i="6"/>
  <c r="D131" i="6"/>
  <c r="E131" i="6"/>
  <c r="A132" i="6"/>
  <c r="B132" i="6"/>
  <c r="C132" i="6"/>
  <c r="D132" i="6"/>
  <c r="E132" i="6"/>
  <c r="A133" i="6"/>
  <c r="B133" i="6"/>
  <c r="C133" i="6"/>
  <c r="D133" i="6"/>
  <c r="E133" i="6"/>
  <c r="A134" i="6"/>
  <c r="B134" i="6"/>
  <c r="C134" i="6"/>
  <c r="D134" i="6"/>
  <c r="E134" i="6"/>
  <c r="A135" i="6"/>
  <c r="B135" i="6"/>
  <c r="C135" i="6"/>
  <c r="D135" i="6"/>
  <c r="E135" i="6"/>
  <c r="A136" i="6"/>
  <c r="B136" i="6"/>
  <c r="C136" i="6"/>
  <c r="D136" i="6"/>
  <c r="E136" i="6"/>
  <c r="A137" i="6"/>
  <c r="B137" i="6"/>
  <c r="C137" i="6"/>
  <c r="D137" i="6"/>
  <c r="E137" i="6"/>
  <c r="A138" i="6"/>
  <c r="B138" i="6"/>
  <c r="C138" i="6"/>
  <c r="D138" i="6"/>
  <c r="E138" i="6"/>
  <c r="A139" i="6"/>
  <c r="B139" i="6"/>
  <c r="C139" i="6"/>
  <c r="D139" i="6"/>
  <c r="E139" i="6"/>
  <c r="A140" i="6"/>
  <c r="B140" i="6"/>
  <c r="C140" i="6"/>
  <c r="D140" i="6"/>
  <c r="E140" i="6"/>
  <c r="A141" i="6"/>
  <c r="B141" i="6"/>
  <c r="C141" i="6"/>
  <c r="D141" i="6"/>
  <c r="E141" i="6"/>
  <c r="A142" i="6"/>
  <c r="B142" i="6"/>
  <c r="C142" i="6"/>
  <c r="D142" i="6"/>
  <c r="E142" i="6"/>
  <c r="A143" i="6"/>
  <c r="B143" i="6"/>
  <c r="C143" i="6"/>
  <c r="D143" i="6"/>
  <c r="E143" i="6"/>
  <c r="A144" i="6"/>
  <c r="B144" i="6"/>
  <c r="C144" i="6"/>
  <c r="D144" i="6"/>
  <c r="E144" i="6"/>
  <c r="A145" i="6"/>
  <c r="B145" i="6"/>
  <c r="C145" i="6"/>
  <c r="D145" i="6"/>
  <c r="E145" i="6"/>
  <c r="A146" i="6"/>
  <c r="B146" i="6"/>
  <c r="C146" i="6"/>
  <c r="D146" i="6"/>
  <c r="E146" i="6"/>
  <c r="A147" i="6"/>
  <c r="B147" i="6"/>
  <c r="C147" i="6"/>
  <c r="D147" i="6"/>
  <c r="E147" i="6"/>
  <c r="A148" i="6"/>
  <c r="B148" i="6"/>
  <c r="C148" i="6"/>
  <c r="D148" i="6"/>
  <c r="E148" i="6"/>
  <c r="A149" i="6"/>
  <c r="B149" i="6"/>
  <c r="C149" i="6"/>
  <c r="D149" i="6"/>
  <c r="E149" i="6"/>
  <c r="A150" i="6"/>
  <c r="B150" i="6"/>
  <c r="C150" i="6"/>
  <c r="D150" i="6"/>
  <c r="E150" i="6"/>
  <c r="A3" i="6"/>
  <c r="B3" i="6"/>
  <c r="C3" i="6"/>
  <c r="D3" i="6"/>
  <c r="E3" i="6"/>
  <c r="B2" i="6"/>
  <c r="C2" i="6"/>
  <c r="E2" i="6"/>
  <c r="A2" i="6"/>
  <c r="D2" i="6"/>
  <c r="BV3" i="6"/>
  <c r="V17" i="5" s="1"/>
  <c r="BV6" i="6"/>
  <c r="V20" i="5" s="1"/>
  <c r="BV5" i="6"/>
  <c r="V19" i="5" s="1"/>
  <c r="BV4" i="6"/>
  <c r="V18" i="5" s="1"/>
  <c r="BW6" i="6"/>
  <c r="W20" i="5" s="1"/>
  <c r="BW3" i="6" l="1"/>
  <c r="W17" i="5" s="1"/>
  <c r="BU6" i="6"/>
  <c r="BW4" i="6"/>
  <c r="W18" i="5" s="1"/>
  <c r="BU4" i="6"/>
  <c r="A137" i="5"/>
  <c r="L51" i="5"/>
  <c r="AM14" i="5"/>
  <c r="AK14" i="5"/>
  <c r="A143" i="5"/>
  <c r="A32" i="5"/>
  <c r="O137" i="5"/>
  <c r="Q137" i="5" s="1"/>
  <c r="AM19" i="5"/>
  <c r="A109" i="5"/>
  <c r="A27" i="5"/>
  <c r="A95" i="5"/>
  <c r="A110" i="5"/>
  <c r="A128" i="5"/>
  <c r="A28" i="5"/>
  <c r="AV31" i="5"/>
  <c r="AN42" i="5"/>
  <c r="AQ9" i="5"/>
  <c r="AK35" i="5"/>
  <c r="AZ14" i="5"/>
  <c r="AZ26" i="5"/>
  <c r="BE27" i="5" s="1"/>
  <c r="AK30" i="5"/>
  <c r="AV12" i="5"/>
  <c r="AZ31" i="5"/>
  <c r="R17" i="10"/>
  <c r="AS4" i="5"/>
  <c r="AM25" i="5"/>
  <c r="AN3" i="5"/>
  <c r="BE25" i="5"/>
  <c r="AZ29" i="5"/>
  <c r="AK29" i="5"/>
  <c r="AN5" i="5"/>
  <c r="AS6" i="5" s="1"/>
  <c r="AV18" i="5"/>
  <c r="AM3" i="5"/>
  <c r="AV16" i="5"/>
  <c r="AV10" i="5"/>
  <c r="AQ8" i="5"/>
  <c r="A100" i="5"/>
  <c r="A125" i="5"/>
  <c r="AH31" i="5"/>
  <c r="AV9" i="5"/>
  <c r="AM35" i="5"/>
  <c r="AV29" i="5"/>
  <c r="AN4" i="5"/>
  <c r="AM9" i="5"/>
  <c r="AV19" i="5"/>
  <c r="BE16" i="5"/>
  <c r="AH1" i="5"/>
  <c r="AV15" i="5"/>
  <c r="AZ30" i="5"/>
  <c r="AZ16" i="5"/>
  <c r="AM13" i="5"/>
  <c r="A114" i="5"/>
  <c r="A124" i="5"/>
  <c r="AT29" i="5"/>
  <c r="AH7" i="5"/>
  <c r="BE18" i="5"/>
  <c r="AM37" i="5"/>
  <c r="AZ15" i="5"/>
  <c r="AH43" i="5"/>
  <c r="AQ13" i="5"/>
  <c r="AK9" i="5"/>
  <c r="AM29" i="5"/>
  <c r="A123" i="5"/>
  <c r="AK15" i="5"/>
  <c r="AQ31" i="5"/>
  <c r="AT15" i="5"/>
  <c r="BE26" i="5"/>
  <c r="N137" i="5"/>
  <c r="P137" i="5" s="1"/>
  <c r="BE15" i="5"/>
  <c r="AT35" i="5"/>
  <c r="AQ14" i="5"/>
  <c r="AT9" i="5"/>
  <c r="AS5" i="5"/>
  <c r="AN2" i="5"/>
  <c r="AM15" i="5"/>
  <c r="A97" i="5"/>
  <c r="AQ16" i="5"/>
  <c r="BE28" i="5"/>
  <c r="AS40" i="5"/>
  <c r="AV25" i="5"/>
  <c r="AQ15" i="5"/>
  <c r="AM31" i="5"/>
  <c r="AZ13" i="5"/>
  <c r="AH37" i="5"/>
  <c r="AQ10" i="5"/>
  <c r="AS3" i="5"/>
  <c r="AM24" i="5"/>
  <c r="A96" i="5"/>
  <c r="A111" i="5"/>
  <c r="A29" i="5"/>
  <c r="O12" i="10"/>
  <c r="O11" i="10"/>
  <c r="I10" i="10"/>
  <c r="L10" i="10" s="1"/>
  <c r="P18" i="10"/>
  <c r="M9" i="10" s="1"/>
  <c r="C100" i="5"/>
  <c r="L50" i="5"/>
  <c r="AE20" i="5" s="1"/>
  <c r="O142" i="5"/>
  <c r="Q142" i="5" s="1"/>
  <c r="O141" i="5"/>
  <c r="Q141" i="5" s="1"/>
  <c r="E160" i="5" s="1"/>
  <c r="G160" i="5" s="1"/>
  <c r="O139" i="5"/>
  <c r="Q139" i="5" s="1"/>
  <c r="E158" i="5" s="1"/>
  <c r="G158" i="5" s="1"/>
  <c r="O147" i="5"/>
  <c r="Q147" i="5" s="1"/>
  <c r="O145" i="5"/>
  <c r="Q145" i="5" s="1"/>
  <c r="G116" i="5"/>
  <c r="L102" i="5"/>
  <c r="C115" i="5"/>
  <c r="K117" i="5"/>
  <c r="I109" i="5"/>
  <c r="E50" i="5"/>
  <c r="AB26" i="5" s="1"/>
  <c r="O143" i="5"/>
  <c r="Q143" i="5" s="1"/>
  <c r="AP4" i="5"/>
  <c r="K50" i="5"/>
  <c r="AB18" i="5" s="1"/>
  <c r="N144" i="5"/>
  <c r="P144" i="5" s="1"/>
  <c r="N141" i="5"/>
  <c r="P141" i="5" s="1"/>
  <c r="D160" i="5" s="1"/>
  <c r="F160" i="5" s="1"/>
  <c r="N139" i="5"/>
  <c r="P139" i="5" s="1"/>
  <c r="N148" i="5"/>
  <c r="P148" i="5" s="1"/>
  <c r="N146" i="5"/>
  <c r="P146" i="5" s="1"/>
  <c r="O144" i="5"/>
  <c r="Q144" i="5" s="1"/>
  <c r="N142" i="5"/>
  <c r="P142" i="5" s="1"/>
  <c r="O140" i="5"/>
  <c r="Q140" i="5" s="1"/>
  <c r="E159" i="5" s="1"/>
  <c r="G159" i="5" s="1"/>
  <c r="O138" i="5"/>
  <c r="Q138" i="5" s="1"/>
  <c r="E156" i="5" s="1"/>
  <c r="G156" i="5" s="1"/>
  <c r="N31" i="5"/>
  <c r="O148" i="5"/>
  <c r="Q148" i="5" s="1"/>
  <c r="O146" i="5"/>
  <c r="Q146" i="5" s="1"/>
  <c r="N147" i="5"/>
  <c r="P147" i="5" s="1"/>
  <c r="N145" i="5"/>
  <c r="P145" i="5" s="1"/>
  <c r="N143" i="5"/>
  <c r="P143" i="5" s="1"/>
  <c r="D163" i="5" s="1"/>
  <c r="F163" i="5" s="1"/>
  <c r="N140" i="5"/>
  <c r="P140" i="5" s="1"/>
  <c r="D159" i="5" s="1"/>
  <c r="F159" i="5" s="1"/>
  <c r="N138" i="5"/>
  <c r="P138" i="5" s="1"/>
  <c r="D156" i="5" s="1"/>
  <c r="F156" i="5" s="1"/>
  <c r="H101" i="5"/>
  <c r="D96" i="5"/>
  <c r="H105" i="5"/>
  <c r="M118" i="5"/>
  <c r="E104" i="5"/>
  <c r="N118" i="5"/>
  <c r="L117" i="5"/>
  <c r="F116" i="5"/>
  <c r="I101" i="5"/>
  <c r="K114" i="5"/>
  <c r="H118" i="5"/>
  <c r="D117" i="5"/>
  <c r="K102" i="5"/>
  <c r="M50" i="5"/>
  <c r="AE19" i="5" s="1"/>
  <c r="I113" i="5"/>
  <c r="K51" i="5"/>
  <c r="AH13" i="5" s="1"/>
  <c r="I119" i="5"/>
  <c r="G118" i="5"/>
  <c r="C117" i="5"/>
  <c r="D102" i="5"/>
  <c r="M111" i="5"/>
  <c r="H119" i="5"/>
  <c r="N104" i="5"/>
  <c r="I103" i="5"/>
  <c r="C102" i="5"/>
  <c r="E97" i="5"/>
  <c r="B99" i="5"/>
  <c r="C119" i="5"/>
  <c r="M104" i="5"/>
  <c r="H103" i="5"/>
  <c r="I115" i="5"/>
  <c r="L110" i="5"/>
  <c r="H112" i="5"/>
  <c r="B95" i="5"/>
  <c r="I105" i="5"/>
  <c r="F104" i="5"/>
  <c r="N116" i="5"/>
  <c r="D115" i="5"/>
  <c r="I110" i="5"/>
  <c r="L108" i="5"/>
  <c r="L99" i="5"/>
  <c r="L112" i="5"/>
  <c r="I97" i="5"/>
  <c r="H96" i="5"/>
  <c r="K100" i="5"/>
  <c r="I99" i="5"/>
  <c r="H98" i="5"/>
  <c r="F111" i="5"/>
  <c r="E110" i="5"/>
  <c r="H108" i="5"/>
  <c r="H114" i="5"/>
  <c r="F113" i="5"/>
  <c r="D98" i="5"/>
  <c r="B97" i="5"/>
  <c r="N109" i="5"/>
  <c r="G100" i="5"/>
  <c r="E99" i="5"/>
  <c r="D112" i="5"/>
  <c r="B111" i="5"/>
  <c r="M95" i="5"/>
  <c r="D114" i="5"/>
  <c r="C113" i="5"/>
  <c r="M97" i="5"/>
  <c r="L96" i="5"/>
  <c r="J109" i="5"/>
  <c r="M113" i="5"/>
  <c r="L98" i="5"/>
  <c r="J111" i="5"/>
  <c r="D154" i="5"/>
  <c r="F154" i="5" s="1"/>
  <c r="D162" i="5"/>
  <c r="F162" i="5" s="1"/>
  <c r="E157" i="5"/>
  <c r="G157" i="5" s="1"/>
  <c r="E165" i="5"/>
  <c r="G165" i="5" s="1"/>
  <c r="D152" i="5"/>
  <c r="F152" i="5" s="1"/>
  <c r="E154" i="5"/>
  <c r="G154" i="5" s="1"/>
  <c r="E162" i="5"/>
  <c r="G162" i="5" s="1"/>
  <c r="D164" i="5"/>
  <c r="F164" i="5" s="1"/>
  <c r="D153" i="5"/>
  <c r="F153" i="5" s="1"/>
  <c r="D161" i="5"/>
  <c r="F161" i="5" s="1"/>
  <c r="E152" i="5"/>
  <c r="G152" i="5" s="1"/>
  <c r="D158" i="5"/>
  <c r="F158" i="5" s="1"/>
  <c r="E164" i="5"/>
  <c r="G164" i="5" s="1"/>
  <c r="E153" i="5"/>
  <c r="G153" i="5" s="1"/>
  <c r="D155" i="5"/>
  <c r="F155" i="5" s="1"/>
  <c r="E161" i="5"/>
  <c r="G161" i="5" s="1"/>
  <c r="E166" i="5"/>
  <c r="G166" i="5" s="1"/>
  <c r="E155" i="5"/>
  <c r="G155" i="5" s="1"/>
  <c r="D157" i="5"/>
  <c r="F157" i="5" s="1"/>
  <c r="E163" i="5"/>
  <c r="G163" i="5" s="1"/>
  <c r="N119" i="5"/>
  <c r="G119" i="5"/>
  <c r="B119" i="5"/>
  <c r="G105" i="5"/>
  <c r="L118" i="5"/>
  <c r="L104" i="5"/>
  <c r="D104" i="5"/>
  <c r="J117" i="5"/>
  <c r="B117" i="5"/>
  <c r="G103" i="5"/>
  <c r="M116" i="5"/>
  <c r="E116" i="5"/>
  <c r="J102" i="5"/>
  <c r="B102" i="5"/>
  <c r="H115" i="5"/>
  <c r="B115" i="5"/>
  <c r="G101" i="5"/>
  <c r="N100" i="5"/>
  <c r="J100" i="5"/>
  <c r="G114" i="5"/>
  <c r="C114" i="5"/>
  <c r="L113" i="5"/>
  <c r="E113" i="5"/>
  <c r="B113" i="5"/>
  <c r="K98" i="5"/>
  <c r="G98" i="5"/>
  <c r="C98" i="5"/>
  <c r="L97" i="5"/>
  <c r="I111" i="5"/>
  <c r="E111" i="5"/>
  <c r="K96" i="5"/>
  <c r="H110" i="5"/>
  <c r="D110" i="5"/>
  <c r="M109" i="5"/>
  <c r="H95" i="5"/>
  <c r="C108" i="5"/>
  <c r="D108" i="5"/>
  <c r="V3" i="5"/>
  <c r="M119" i="5"/>
  <c r="N105" i="5"/>
  <c r="F105" i="5"/>
  <c r="K118" i="5"/>
  <c r="F118" i="5"/>
  <c r="K104" i="5"/>
  <c r="C104" i="5"/>
  <c r="I117" i="5"/>
  <c r="N103" i="5"/>
  <c r="F103" i="5"/>
  <c r="L116" i="5"/>
  <c r="D116" i="5"/>
  <c r="I102" i="5"/>
  <c r="N115" i="5"/>
  <c r="G115" i="5"/>
  <c r="N101" i="5"/>
  <c r="F101" i="5"/>
  <c r="N114" i="5"/>
  <c r="J114" i="5"/>
  <c r="F100" i="5"/>
  <c r="B100" i="5"/>
  <c r="H99" i="5"/>
  <c r="K112" i="5"/>
  <c r="G112" i="5"/>
  <c r="C112" i="5"/>
  <c r="L111" i="5"/>
  <c r="H97" i="5"/>
  <c r="D97" i="5"/>
  <c r="N96" i="5"/>
  <c r="K110" i="5"/>
  <c r="G96" i="5"/>
  <c r="C96" i="5"/>
  <c r="L95" i="5"/>
  <c r="H109" i="5"/>
  <c r="G108" i="5"/>
  <c r="F119" i="5"/>
  <c r="M105" i="5"/>
  <c r="E105" i="5"/>
  <c r="E118" i="5"/>
  <c r="J104" i="5"/>
  <c r="B104" i="5"/>
  <c r="H117" i="5"/>
  <c r="M103" i="5"/>
  <c r="E103" i="5"/>
  <c r="K116" i="5"/>
  <c r="C116" i="5"/>
  <c r="H102" i="5"/>
  <c r="M115" i="5"/>
  <c r="M101" i="5"/>
  <c r="E101" i="5"/>
  <c r="M100" i="5"/>
  <c r="F114" i="5"/>
  <c r="B114" i="5"/>
  <c r="B128" i="5" s="1"/>
  <c r="K99" i="5"/>
  <c r="H113" i="5"/>
  <c r="D99" i="5"/>
  <c r="N98" i="5"/>
  <c r="J98" i="5"/>
  <c r="F98" i="5"/>
  <c r="B98" i="5"/>
  <c r="K97" i="5"/>
  <c r="H111" i="5"/>
  <c r="D111" i="5"/>
  <c r="N110" i="5"/>
  <c r="J96" i="5"/>
  <c r="G110" i="5"/>
  <c r="C110" i="5"/>
  <c r="L109" i="5"/>
  <c r="F109" i="5"/>
  <c r="F108" i="5"/>
  <c r="L119" i="5"/>
  <c r="E119" i="5"/>
  <c r="L105" i="5"/>
  <c r="D105" i="5"/>
  <c r="J118" i="5"/>
  <c r="D118" i="5"/>
  <c r="I104" i="5"/>
  <c r="G117" i="5"/>
  <c r="L103" i="5"/>
  <c r="D103" i="5"/>
  <c r="J116" i="5"/>
  <c r="B116" i="5"/>
  <c r="G102" i="5"/>
  <c r="L115" i="5"/>
  <c r="F115" i="5"/>
  <c r="L101" i="5"/>
  <c r="D101" i="5"/>
  <c r="M114" i="5"/>
  <c r="I100" i="5"/>
  <c r="E100" i="5"/>
  <c r="N99" i="5"/>
  <c r="K113" i="5"/>
  <c r="G99" i="5"/>
  <c r="D113" i="5"/>
  <c r="N112" i="5"/>
  <c r="J112" i="5"/>
  <c r="F112" i="5"/>
  <c r="B112" i="5"/>
  <c r="K111" i="5"/>
  <c r="G97" i="5"/>
  <c r="C97" i="5"/>
  <c r="J110" i="5"/>
  <c r="F96" i="5"/>
  <c r="B96" i="5"/>
  <c r="K95" i="5"/>
  <c r="E109" i="5"/>
  <c r="D94" i="5"/>
  <c r="B108" i="5"/>
  <c r="K119" i="5"/>
  <c r="K105" i="5"/>
  <c r="C105" i="5"/>
  <c r="I118" i="5"/>
  <c r="H104" i="5"/>
  <c r="N117" i="5"/>
  <c r="F117" i="5"/>
  <c r="K103" i="5"/>
  <c r="C103" i="5"/>
  <c r="I116" i="5"/>
  <c r="N102" i="5"/>
  <c r="F102" i="5"/>
  <c r="K115" i="5"/>
  <c r="E115" i="5"/>
  <c r="K101" i="5"/>
  <c r="C101" i="5"/>
  <c r="L100" i="5"/>
  <c r="I114" i="5"/>
  <c r="E114" i="5"/>
  <c r="N113" i="5"/>
  <c r="J99" i="5"/>
  <c r="G113" i="5"/>
  <c r="M98" i="5"/>
  <c r="I98" i="5"/>
  <c r="E98" i="5"/>
  <c r="N97" i="5"/>
  <c r="G111" i="5"/>
  <c r="C111" i="5"/>
  <c r="M96" i="5"/>
  <c r="F110" i="5"/>
  <c r="B110" i="5"/>
  <c r="K109" i="5"/>
  <c r="C95" i="5"/>
  <c r="C118" i="5"/>
  <c r="J119" i="5"/>
  <c r="D119" i="5"/>
  <c r="J105" i="5"/>
  <c r="B105" i="5"/>
  <c r="B118" i="5"/>
  <c r="G104" i="5"/>
  <c r="M117" i="5"/>
  <c r="E117" i="5"/>
  <c r="J103" i="5"/>
  <c r="B103" i="5"/>
  <c r="H116" i="5"/>
  <c r="M102" i="5"/>
  <c r="E102" i="5"/>
  <c r="J115" i="5"/>
  <c r="J101" i="5"/>
  <c r="B101" i="5"/>
  <c r="L114" i="5"/>
  <c r="H100" i="5"/>
  <c r="D100" i="5"/>
  <c r="M99" i="5"/>
  <c r="J113" i="5"/>
  <c r="F99" i="5"/>
  <c r="C99" i="5"/>
  <c r="M112" i="5"/>
  <c r="I112" i="5"/>
  <c r="E112" i="5"/>
  <c r="N111" i="5"/>
  <c r="J97" i="5"/>
  <c r="F97" i="5"/>
  <c r="M110" i="5"/>
  <c r="I96" i="5"/>
  <c r="E96" i="5"/>
  <c r="N95" i="5"/>
  <c r="J95" i="5"/>
  <c r="X3" i="5"/>
  <c r="P6" i="5"/>
  <c r="Q7" i="5"/>
  <c r="P8" i="5"/>
  <c r="Q9" i="5"/>
  <c r="Q6" i="5"/>
  <c r="Q8" i="5"/>
  <c r="P9" i="5"/>
  <c r="P10" i="5"/>
  <c r="Q10" i="5"/>
  <c r="P11" i="5"/>
  <c r="Q13" i="5"/>
  <c r="Q11" i="5"/>
  <c r="P12" i="5"/>
  <c r="Q12" i="5"/>
  <c r="P13" i="5"/>
  <c r="P7" i="5"/>
  <c r="G95" i="5"/>
  <c r="B109" i="5"/>
  <c r="M94" i="5"/>
  <c r="K108" i="5"/>
  <c r="I94" i="5"/>
  <c r="B94" i="5"/>
  <c r="G109" i="5"/>
  <c r="D95" i="5"/>
  <c r="M108" i="5"/>
  <c r="E94" i="5"/>
  <c r="I95" i="5"/>
  <c r="D109" i="5"/>
  <c r="I108" i="5"/>
  <c r="E108" i="5"/>
  <c r="C94" i="5"/>
  <c r="F95" i="5"/>
  <c r="L94" i="5"/>
  <c r="J94" i="5"/>
  <c r="G94" i="5"/>
  <c r="C109" i="5"/>
  <c r="N94" i="5"/>
  <c r="J108" i="5"/>
  <c r="H94" i="5"/>
  <c r="E95" i="5"/>
  <c r="N108" i="5"/>
  <c r="K94" i="5"/>
  <c r="F94" i="5"/>
  <c r="D165" i="5" l="1"/>
  <c r="F165" i="5" s="1"/>
  <c r="H165" i="5" s="1"/>
  <c r="N30" i="5"/>
  <c r="N29" i="5"/>
  <c r="BB29" i="5"/>
  <c r="N35" i="5"/>
  <c r="N28" i="5"/>
  <c r="R18" i="10"/>
  <c r="H163" i="5"/>
  <c r="H160" i="5"/>
  <c r="AS9" i="5"/>
  <c r="AV11" i="5"/>
  <c r="BE17" i="5"/>
  <c r="BB15" i="5"/>
  <c r="AV17" i="5"/>
  <c r="AS15" i="5"/>
  <c r="C129" i="5"/>
  <c r="L130" i="5"/>
  <c r="D166" i="5"/>
  <c r="F166" i="5" s="1"/>
  <c r="H166" i="5" s="1"/>
  <c r="H157" i="5"/>
  <c r="E129" i="5"/>
  <c r="N10" i="10"/>
  <c r="O10" i="10" s="1"/>
  <c r="N9" i="10"/>
  <c r="N124" i="5"/>
  <c r="C128" i="5"/>
  <c r="C130" i="5"/>
  <c r="J123" i="5"/>
  <c r="D131" i="5"/>
  <c r="E124" i="5"/>
  <c r="I130" i="5"/>
  <c r="G130" i="5"/>
  <c r="F131" i="5"/>
  <c r="H128" i="5"/>
  <c r="M128" i="5"/>
  <c r="B127" i="5"/>
  <c r="G124" i="5"/>
  <c r="H124" i="5"/>
  <c r="K131" i="5"/>
  <c r="C131" i="5"/>
  <c r="F123" i="5"/>
  <c r="H132" i="5"/>
  <c r="C132" i="5"/>
  <c r="E132" i="5"/>
  <c r="F127" i="5"/>
  <c r="D130" i="5"/>
  <c r="M123" i="5"/>
  <c r="H164" i="5"/>
  <c r="H162" i="5"/>
  <c r="X17" i="5"/>
  <c r="H158" i="5"/>
  <c r="H156" i="5"/>
  <c r="H154" i="5"/>
  <c r="I122" i="5"/>
  <c r="I125" i="5"/>
  <c r="F132" i="5"/>
  <c r="B124" i="5"/>
  <c r="H131" i="5"/>
  <c r="D126" i="5"/>
  <c r="L126" i="5"/>
  <c r="D129" i="5"/>
  <c r="G132" i="5"/>
  <c r="L125" i="5"/>
  <c r="H133" i="5"/>
  <c r="B123" i="5"/>
  <c r="D124" i="5"/>
  <c r="I133" i="5"/>
  <c r="N132" i="5"/>
  <c r="H129" i="5"/>
  <c r="L127" i="5"/>
  <c r="G128" i="5"/>
  <c r="M132" i="5"/>
  <c r="J127" i="5"/>
  <c r="E130" i="5"/>
  <c r="H126" i="5"/>
  <c r="I129" i="5"/>
  <c r="I127" i="5"/>
  <c r="K129" i="5"/>
  <c r="N128" i="5"/>
  <c r="C122" i="5"/>
  <c r="L124" i="5"/>
  <c r="C123" i="5"/>
  <c r="C125" i="5"/>
  <c r="I132" i="5"/>
  <c r="E127" i="5"/>
  <c r="F122" i="5"/>
  <c r="B36" i="5"/>
  <c r="D36" i="5" s="1"/>
  <c r="B33" i="5"/>
  <c r="D33" i="5" s="1"/>
  <c r="L131" i="5"/>
  <c r="C127" i="5"/>
  <c r="G131" i="5"/>
  <c r="K126" i="5"/>
  <c r="G129" i="5"/>
  <c r="B32" i="5"/>
  <c r="D32" i="5" s="1"/>
  <c r="I131" i="5"/>
  <c r="D122" i="5"/>
  <c r="L122" i="5"/>
  <c r="F125" i="5"/>
  <c r="D132" i="5"/>
  <c r="K124" i="5"/>
  <c r="J125" i="5"/>
  <c r="N125" i="5"/>
  <c r="H130" i="5"/>
  <c r="C37" i="5"/>
  <c r="E37" i="5" s="1"/>
  <c r="N131" i="5"/>
  <c r="B130" i="5"/>
  <c r="F128" i="5"/>
  <c r="K128" i="5"/>
  <c r="B122" i="5"/>
  <c r="N123" i="5"/>
  <c r="F130" i="5"/>
  <c r="C27" i="5"/>
  <c r="E27" i="5" s="1"/>
  <c r="J128" i="5"/>
  <c r="I126" i="5"/>
  <c r="J126" i="5"/>
  <c r="N130" i="5"/>
  <c r="C126" i="5"/>
  <c r="M125" i="5"/>
  <c r="M131" i="5"/>
  <c r="I128" i="5"/>
  <c r="D127" i="5"/>
  <c r="E123" i="5"/>
  <c r="M124" i="5"/>
  <c r="C32" i="5"/>
  <c r="E32" i="5" s="1"/>
  <c r="E125" i="5"/>
  <c r="K130" i="5"/>
  <c r="C31" i="5"/>
  <c r="E31" i="5" s="1"/>
  <c r="B29" i="5"/>
  <c r="D29" i="5" s="1"/>
  <c r="M127" i="5"/>
  <c r="M130" i="5"/>
  <c r="K125" i="5"/>
  <c r="J132" i="5"/>
  <c r="B126" i="5"/>
  <c r="B35" i="5"/>
  <c r="D35" i="5" s="1"/>
  <c r="B30" i="5"/>
  <c r="D30" i="5" s="1"/>
  <c r="G127" i="5"/>
  <c r="C124" i="5"/>
  <c r="N127" i="5"/>
  <c r="M126" i="5"/>
  <c r="E131" i="5"/>
  <c r="I124" i="5"/>
  <c r="K133" i="5"/>
  <c r="H127" i="5"/>
  <c r="K123" i="5"/>
  <c r="K127" i="5"/>
  <c r="L132" i="5"/>
  <c r="D128" i="5"/>
  <c r="B125" i="5"/>
  <c r="G125" i="5"/>
  <c r="N126" i="5"/>
  <c r="L133" i="5"/>
  <c r="H123" i="5"/>
  <c r="F129" i="5"/>
  <c r="J133" i="5"/>
  <c r="C28" i="5"/>
  <c r="E28" i="5" s="1"/>
  <c r="C30" i="5"/>
  <c r="E30" i="5" s="1"/>
  <c r="C33" i="5"/>
  <c r="E33" i="5" s="1"/>
  <c r="H125" i="5"/>
  <c r="H155" i="5"/>
  <c r="H159" i="5"/>
  <c r="E128" i="5"/>
  <c r="B37" i="5"/>
  <c r="D37" i="5" s="1"/>
  <c r="H153" i="5"/>
  <c r="J129" i="5"/>
  <c r="M122" i="5"/>
  <c r="L129" i="5"/>
  <c r="B34" i="5"/>
  <c r="D34" i="5" s="1"/>
  <c r="L123" i="5"/>
  <c r="H152" i="5"/>
  <c r="E122" i="5"/>
  <c r="E126" i="5"/>
  <c r="D133" i="5"/>
  <c r="F126" i="5"/>
  <c r="H161" i="5"/>
  <c r="C29" i="5"/>
  <c r="E29" i="5" s="1"/>
  <c r="M129" i="5"/>
  <c r="J130" i="5"/>
  <c r="C133" i="5"/>
  <c r="J124" i="5"/>
  <c r="L128" i="5"/>
  <c r="M133" i="5"/>
  <c r="G122" i="5"/>
  <c r="B132" i="5"/>
  <c r="B133" i="5"/>
  <c r="C35" i="5"/>
  <c r="E35" i="5" s="1"/>
  <c r="B31" i="5"/>
  <c r="D31" i="5" s="1"/>
  <c r="G126" i="5"/>
  <c r="G133" i="5"/>
  <c r="C36" i="5"/>
  <c r="E36" i="5" s="1"/>
  <c r="F124" i="5"/>
  <c r="F133" i="5"/>
  <c r="N129" i="5"/>
  <c r="B131" i="5"/>
  <c r="N133" i="5"/>
  <c r="B129" i="5"/>
  <c r="J131" i="5"/>
  <c r="B27" i="5"/>
  <c r="D27" i="5" s="1"/>
  <c r="C34" i="5"/>
  <c r="E34" i="5" s="1"/>
  <c r="B28" i="5"/>
  <c r="D28" i="5" s="1"/>
  <c r="E133" i="5"/>
  <c r="D125" i="5"/>
  <c r="K132" i="5"/>
  <c r="J122" i="5"/>
  <c r="G123" i="5"/>
  <c r="D123" i="5"/>
  <c r="K122" i="5"/>
  <c r="N122" i="5"/>
  <c r="I123" i="5"/>
  <c r="B26" i="5"/>
  <c r="D26" i="5" s="1"/>
  <c r="H122" i="5"/>
  <c r="C26" i="5"/>
  <c r="E26" i="5" s="1"/>
  <c r="F29" i="5" l="1"/>
  <c r="G29" i="5" s="1"/>
  <c r="AS14" i="5"/>
  <c r="AS13" i="5"/>
  <c r="AY17" i="5"/>
  <c r="AW17" i="5"/>
  <c r="AX17" i="5"/>
  <c r="Q10" i="10"/>
  <c r="R10" i="10"/>
  <c r="F36" i="5"/>
  <c r="G36" i="5" s="1"/>
  <c r="F33" i="5"/>
  <c r="G33" i="5" s="1"/>
  <c r="F27" i="5"/>
  <c r="G27" i="5" s="1"/>
  <c r="H31" i="5"/>
  <c r="F32" i="5"/>
  <c r="G32" i="5" s="1"/>
  <c r="F37" i="5"/>
  <c r="G37" i="5" s="1"/>
  <c r="H34" i="5"/>
  <c r="H32" i="5"/>
  <c r="F28" i="5"/>
  <c r="G28" i="5" s="1"/>
  <c r="H29" i="5"/>
  <c r="F31" i="5"/>
  <c r="G31" i="5" s="1"/>
  <c r="F30" i="5"/>
  <c r="G30" i="5" s="1"/>
  <c r="F35" i="5"/>
  <c r="G35" i="5" s="1"/>
  <c r="H30" i="5"/>
  <c r="H28" i="5"/>
  <c r="H35" i="5"/>
  <c r="F34" i="5"/>
  <c r="G34" i="5" s="1"/>
  <c r="H167" i="5"/>
  <c r="A192" i="5" s="1"/>
  <c r="H37" i="5"/>
  <c r="H26" i="5"/>
  <c r="H33" i="5"/>
  <c r="H36" i="5"/>
  <c r="H27" i="5"/>
  <c r="F26" i="5"/>
  <c r="G26" i="5" s="1"/>
  <c r="I29" i="5" l="1"/>
  <c r="J29" i="5" s="1"/>
  <c r="I33" i="5"/>
  <c r="J33" i="5" s="1"/>
  <c r="I36" i="5"/>
  <c r="J36" i="5" s="1"/>
  <c r="P51" i="5"/>
  <c r="P50" i="5"/>
  <c r="A193" i="5"/>
  <c r="P55" i="5"/>
  <c r="P52" i="5"/>
  <c r="P56" i="5"/>
  <c r="P53" i="5"/>
  <c r="P54" i="5"/>
  <c r="I37" i="5"/>
  <c r="J37" i="5" s="1"/>
  <c r="I27" i="5"/>
  <c r="J27" i="5" s="1"/>
  <c r="O51" i="5" s="1"/>
  <c r="I26" i="5"/>
  <c r="I28" i="5"/>
  <c r="J28" i="5" s="1"/>
  <c r="O52" i="5" s="1"/>
  <c r="I30" i="5"/>
  <c r="J30" i="5" s="1"/>
  <c r="O54" i="5" s="1"/>
  <c r="I35" i="5"/>
  <c r="J35" i="5" s="1"/>
  <c r="I32" i="5"/>
  <c r="J32" i="5" s="1"/>
  <c r="I34" i="5"/>
  <c r="J34" i="5" s="1"/>
  <c r="I31" i="5"/>
  <c r="J31" i="5" s="1"/>
  <c r="N36" i="5" s="1"/>
  <c r="O29" i="5"/>
  <c r="O35" i="5"/>
  <c r="O39" i="5"/>
  <c r="O30" i="5"/>
  <c r="O31" i="5"/>
  <c r="O36" i="5"/>
  <c r="O40" i="5"/>
  <c r="O32" i="5"/>
  <c r="O26" i="5"/>
  <c r="O33" i="5"/>
  <c r="O37" i="5"/>
  <c r="I167" i="5"/>
  <c r="O27" i="5"/>
  <c r="O34" i="5"/>
  <c r="O38" i="5"/>
  <c r="O28" i="5"/>
  <c r="N40" i="5" l="1"/>
  <c r="N38" i="5"/>
  <c r="Q51" i="5"/>
  <c r="D51" i="5" s="1"/>
  <c r="AM18" i="5" s="1"/>
  <c r="Q56" i="5"/>
  <c r="D56" i="5" s="1"/>
  <c r="AN41" i="5" s="1"/>
  <c r="Q54" i="5"/>
  <c r="D54" i="5" s="1"/>
  <c r="Q53" i="5"/>
  <c r="D53" i="5" s="1"/>
  <c r="AM6" i="5" s="1"/>
  <c r="Q55" i="5"/>
  <c r="I55" i="5" s="1"/>
  <c r="Q52" i="5"/>
  <c r="D52" i="5" s="1"/>
  <c r="AM12" i="5" s="1"/>
  <c r="Q50" i="5"/>
  <c r="I50" i="5" s="1"/>
  <c r="AB20" i="5" s="1"/>
  <c r="O53" i="5"/>
  <c r="N33" i="5"/>
  <c r="J26" i="5"/>
  <c r="O50" i="5" s="1"/>
  <c r="O9" i="10"/>
  <c r="P9" i="10"/>
  <c r="N34" i="5"/>
  <c r="N27" i="5"/>
  <c r="N32" i="5"/>
  <c r="O55" i="5"/>
  <c r="N39" i="5"/>
  <c r="N37" i="5"/>
  <c r="O56" i="5"/>
  <c r="A203" i="5" l="1"/>
  <c r="V25" i="5" s="1"/>
  <c r="B51" i="5"/>
  <c r="U25" i="5" s="1"/>
  <c r="J51" i="5"/>
  <c r="AH14" i="5" s="1"/>
  <c r="C55" i="5"/>
  <c r="AQ29" i="5" s="1"/>
  <c r="C51" i="5"/>
  <c r="AM16" i="5" s="1"/>
  <c r="J55" i="5"/>
  <c r="A207" i="5"/>
  <c r="X29" i="5" s="1"/>
  <c r="AV26" i="5"/>
  <c r="B50" i="5"/>
  <c r="AB21" i="5" s="1"/>
  <c r="D55" i="5"/>
  <c r="AH30" i="5" s="1"/>
  <c r="B55" i="5"/>
  <c r="C50" i="5"/>
  <c r="AB24" i="5" s="1"/>
  <c r="A208" i="5"/>
  <c r="W30" i="5" s="1"/>
  <c r="AV28" i="5"/>
  <c r="J50" i="5"/>
  <c r="AB19" i="5" s="1"/>
  <c r="I53" i="5"/>
  <c r="AH3" i="5" s="1"/>
  <c r="A202" i="5"/>
  <c r="X24" i="5" s="1"/>
  <c r="D50" i="5"/>
  <c r="AB25" i="5" s="1"/>
  <c r="I51" i="5"/>
  <c r="AH15" i="5" s="1"/>
  <c r="C53" i="5"/>
  <c r="AM4" i="5" s="1"/>
  <c r="AH42" i="5"/>
  <c r="AQ36" i="5"/>
  <c r="X25" i="5"/>
  <c r="C52" i="5"/>
  <c r="AM10" i="5" s="1"/>
  <c r="C56" i="5"/>
  <c r="AN40" i="5" s="1"/>
  <c r="J53" i="5"/>
  <c r="AH2" i="5" s="1"/>
  <c r="J52" i="5"/>
  <c r="AH8" i="5" s="1"/>
  <c r="B56" i="5"/>
  <c r="A205" i="5"/>
  <c r="B52" i="5"/>
  <c r="I56" i="5"/>
  <c r="AS37" i="5" s="1"/>
  <c r="J54" i="5"/>
  <c r="AM28" i="5" s="1"/>
  <c r="A204" i="5"/>
  <c r="J56" i="5"/>
  <c r="AS39" i="5" s="1"/>
  <c r="C54" i="5"/>
  <c r="AH29" i="5" s="1"/>
  <c r="A206" i="5"/>
  <c r="I52" i="5"/>
  <c r="AH9" i="5" s="1"/>
  <c r="B53" i="5"/>
  <c r="B54" i="5"/>
  <c r="AH26" i="5" s="1"/>
  <c r="I54" i="5"/>
  <c r="AM26" i="5" s="1"/>
  <c r="N26" i="5"/>
  <c r="R9" i="10"/>
  <c r="Q9" i="10"/>
  <c r="W29" i="5" l="1"/>
  <c r="AH16" i="5"/>
  <c r="AM17" i="5" s="1"/>
  <c r="AO17" i="5" s="1"/>
  <c r="X30" i="5"/>
  <c r="AM32" i="5"/>
  <c r="AM34" i="5"/>
  <c r="AH32" i="5"/>
  <c r="AM33" i="5" s="1"/>
  <c r="AH35" i="5"/>
  <c r="W25" i="5"/>
  <c r="V29" i="5"/>
  <c r="AQ26" i="5"/>
  <c r="AV27" i="5" s="1"/>
  <c r="AX27" i="5" s="1"/>
  <c r="AH38" i="5"/>
  <c r="AM39" i="5" s="1"/>
  <c r="AN37" i="5"/>
  <c r="U24" i="5"/>
  <c r="V30" i="5"/>
  <c r="W24" i="5"/>
  <c r="V24" i="5"/>
  <c r="AQ30" i="5"/>
  <c r="AH36" i="5"/>
  <c r="U29" i="5"/>
  <c r="U27" i="5"/>
  <c r="AH4" i="5"/>
  <c r="AN17" i="5"/>
  <c r="AH41" i="5"/>
  <c r="AQ35" i="5"/>
  <c r="AA22" i="5"/>
  <c r="Z22" i="5" s="1"/>
  <c r="V27" i="5"/>
  <c r="X27" i="5"/>
  <c r="W27" i="5"/>
  <c r="U30" i="5"/>
  <c r="AQ32" i="5"/>
  <c r="X28" i="5"/>
  <c r="V28" i="5"/>
  <c r="W28" i="5"/>
  <c r="AM38" i="5"/>
  <c r="AV32" i="5"/>
  <c r="AM40" i="5"/>
  <c r="AV34" i="5"/>
  <c r="U26" i="5"/>
  <c r="AH10" i="5"/>
  <c r="U28" i="5"/>
  <c r="V26" i="5"/>
  <c r="W26" i="5"/>
  <c r="X26" i="5"/>
  <c r="AP17" i="5" l="1"/>
  <c r="AD20" i="5"/>
  <c r="AD19" i="5" s="1"/>
  <c r="AD17" i="5" s="1"/>
  <c r="AY27" i="5"/>
  <c r="AJ35" i="5"/>
  <c r="AW27" i="5"/>
  <c r="AJ41" i="5"/>
  <c r="AS38" i="5"/>
  <c r="AP40" i="5"/>
  <c r="AP36" i="5"/>
  <c r="AP35" i="5"/>
  <c r="AN33" i="5"/>
  <c r="AP33" i="5"/>
  <c r="AO33" i="5"/>
  <c r="AP34" i="5"/>
  <c r="AJ36" i="5"/>
  <c r="AJ37" i="5"/>
  <c r="AJ29" i="5"/>
  <c r="AM27" i="5"/>
  <c r="AJ15" i="5"/>
  <c r="AJ9" i="5"/>
  <c r="AM11" i="5"/>
  <c r="AS29" i="5"/>
  <c r="AV33" i="5"/>
  <c r="AS35" i="5"/>
  <c r="AD24" i="5"/>
  <c r="AM5" i="5"/>
  <c r="AJ3" i="5"/>
  <c r="AF17" i="5" l="1"/>
  <c r="AG17" i="5"/>
  <c r="AE17" i="5"/>
  <c r="AD18" i="5"/>
  <c r="AS31" i="5"/>
  <c r="AS30" i="5"/>
  <c r="AP9" i="5"/>
  <c r="AO11" i="5"/>
  <c r="AP11" i="5"/>
  <c r="AP10" i="5"/>
  <c r="AP8" i="5"/>
  <c r="AN11" i="5"/>
  <c r="AJ8" i="5"/>
  <c r="AJ7" i="5"/>
  <c r="AJ13" i="5"/>
  <c r="AJ14" i="5"/>
  <c r="AO27" i="5"/>
  <c r="AN27" i="5"/>
  <c r="AP27" i="5"/>
  <c r="AE27" i="5"/>
  <c r="AD27" i="5"/>
  <c r="AD26" i="5"/>
  <c r="AF27" i="5"/>
  <c r="AG27" i="5"/>
  <c r="AD25" i="5"/>
  <c r="AJ31" i="5"/>
  <c r="AJ30" i="5"/>
</calcChain>
</file>

<file path=xl/sharedStrings.xml><?xml version="1.0" encoding="utf-8"?>
<sst xmlns="http://schemas.openxmlformats.org/spreadsheetml/2006/main" count="550" uniqueCount="242">
  <si>
    <t>Radius of gyration</t>
  </si>
  <si>
    <t>Molar volume</t>
  </si>
  <si>
    <t>Polarizability</t>
  </si>
  <si>
    <t>Dipole moment</t>
  </si>
  <si>
    <t>Solubility parameter</t>
  </si>
  <si>
    <t>Ion charge</t>
  </si>
  <si>
    <t>Surface tension</t>
  </si>
  <si>
    <t>Molecular weight</t>
  </si>
  <si>
    <t>VDW volume</t>
  </si>
  <si>
    <t>Melting temperature</t>
  </si>
  <si>
    <t>Triple point temperature</t>
  </si>
  <si>
    <t>Boiling temperature</t>
  </si>
  <si>
    <t>Vapor pressure</t>
  </si>
  <si>
    <t>Triple point pressure</t>
  </si>
  <si>
    <t>Critical pressure</t>
  </si>
  <si>
    <t>Critical temperature</t>
  </si>
  <si>
    <t>MTBE</t>
  </si>
  <si>
    <t>C4</t>
  </si>
  <si>
    <t>MeOH</t>
  </si>
  <si>
    <t>DME</t>
  </si>
  <si>
    <t>C8</t>
  </si>
  <si>
    <t>Property</t>
  </si>
  <si>
    <t>Comp</t>
  </si>
  <si>
    <t>Comp2</t>
  </si>
  <si>
    <t>value</t>
  </si>
  <si>
    <t>Index</t>
  </si>
  <si>
    <t>p</t>
  </si>
  <si>
    <t>Stream</t>
  </si>
  <si>
    <t>property</t>
  </si>
  <si>
    <t>DA</t>
  </si>
  <si>
    <t>DB</t>
  </si>
  <si>
    <t>DC</t>
  </si>
  <si>
    <t>DD</t>
  </si>
  <si>
    <t>DE</t>
  </si>
  <si>
    <t>DF</t>
  </si>
  <si>
    <t>UA</t>
  </si>
  <si>
    <t>UB</t>
  </si>
  <si>
    <t>UC</t>
  </si>
  <si>
    <t>UD</t>
  </si>
  <si>
    <t>UE</t>
  </si>
  <si>
    <t>UF</t>
  </si>
  <si>
    <t>Show the split compounds</t>
  </si>
  <si>
    <t>link names to numbers</t>
  </si>
  <si>
    <t>have way to change list</t>
  </si>
  <si>
    <t>Acetic acid</t>
  </si>
  <si>
    <t>Formic acid</t>
  </si>
  <si>
    <t>Furfural</t>
  </si>
  <si>
    <t>HMF</t>
  </si>
  <si>
    <t>Xylose</t>
  </si>
  <si>
    <t>Arabinose</t>
  </si>
  <si>
    <t>Glucose</t>
  </si>
  <si>
    <t>Water</t>
  </si>
  <si>
    <t>Case</t>
  </si>
  <si>
    <t>Proof</t>
  </si>
  <si>
    <t>Wheat1</t>
  </si>
  <si>
    <t>Wheat2</t>
  </si>
  <si>
    <t>Compound</t>
  </si>
  <si>
    <t>Bottom component</t>
  </si>
  <si>
    <t>Top component</t>
  </si>
  <si>
    <t>Kinetic diameter</t>
  </si>
  <si>
    <t>Molecular diameter</t>
  </si>
  <si>
    <t>Melting point</t>
  </si>
  <si>
    <t>Boiling point</t>
  </si>
  <si>
    <t>Solubility paramter</t>
  </si>
  <si>
    <t>Technology 1</t>
  </si>
  <si>
    <t>Technology 2</t>
  </si>
  <si>
    <t>Technology 3</t>
  </si>
  <si>
    <t>Water cost</t>
  </si>
  <si>
    <t>Revenue</t>
  </si>
  <si>
    <t>Total</t>
  </si>
  <si>
    <t>Discount rate</t>
  </si>
  <si>
    <t>NPV</t>
  </si>
  <si>
    <t>Present value</t>
  </si>
  <si>
    <t>TRL</t>
  </si>
  <si>
    <t>Invest?</t>
  </si>
  <si>
    <t>Actual IC</t>
  </si>
  <si>
    <t>Years</t>
  </si>
  <si>
    <t>Refractive index</t>
  </si>
  <si>
    <t>Number</t>
  </si>
  <si>
    <t>Extention</t>
  </si>
  <si>
    <t>User1</t>
  </si>
  <si>
    <t>User2</t>
  </si>
  <si>
    <t>User3</t>
  </si>
  <si>
    <t>n components</t>
  </si>
  <si>
    <t>Concentration</t>
  </si>
  <si>
    <t>Input</t>
  </si>
  <si>
    <t>Flowrate</t>
  </si>
  <si>
    <t>down</t>
  </si>
  <si>
    <t>up</t>
  </si>
  <si>
    <t>down2</t>
  </si>
  <si>
    <t>up2</t>
  </si>
  <si>
    <t>sum</t>
  </si>
  <si>
    <t>min cost</t>
  </si>
  <si>
    <t>Price</t>
  </si>
  <si>
    <t>max val</t>
  </si>
  <si>
    <t>delta</t>
  </si>
  <si>
    <t>marker</t>
  </si>
  <si>
    <t>Reactants</t>
  </si>
  <si>
    <t>Reaction</t>
  </si>
  <si>
    <t>Products</t>
  </si>
  <si>
    <t>Fermentation</t>
  </si>
  <si>
    <t>Rxn</t>
  </si>
  <si>
    <t>Ethanol</t>
  </si>
  <si>
    <t>Data</t>
  </si>
  <si>
    <t>None</t>
  </si>
  <si>
    <t>Product</t>
  </si>
  <si>
    <t>$</t>
  </si>
  <si>
    <t>index</t>
  </si>
  <si>
    <t>rxn</t>
  </si>
  <si>
    <t>Match1</t>
  </si>
  <si>
    <t>Match2</t>
  </si>
  <si>
    <t>IndexB</t>
  </si>
  <si>
    <t>Gas separation membranes</t>
  </si>
  <si>
    <t>Molecular seive adsoprtion</t>
  </si>
  <si>
    <t>Microfiltration</t>
  </si>
  <si>
    <t>Nanofiltration</t>
  </si>
  <si>
    <t>Liquid membranes</t>
  </si>
  <si>
    <t>Molecular sieve adsorption</t>
  </si>
  <si>
    <t>Supercritical extraction</t>
  </si>
  <si>
    <t>Liquid-liquid extraction</t>
  </si>
  <si>
    <t>Absoprtion</t>
  </si>
  <si>
    <t>Crystalization</t>
  </si>
  <si>
    <t>Desublimation</t>
  </si>
  <si>
    <t>Distillation</t>
  </si>
  <si>
    <t>Evaporation</t>
  </si>
  <si>
    <t>Pervaporation</t>
  </si>
  <si>
    <t>Pervaporation …</t>
  </si>
  <si>
    <t>Liquid-liquid extraction …</t>
  </si>
  <si>
    <t>Foam fractionation</t>
  </si>
  <si>
    <t>Adsoprtion</t>
  </si>
  <si>
    <t>Mass coef</t>
  </si>
  <si>
    <t>Profitable</t>
  </si>
  <si>
    <t>Unprofitable</t>
  </si>
  <si>
    <t>Reaction ready?</t>
  </si>
  <si>
    <t>Program working?</t>
  </si>
  <si>
    <t>Characterization</t>
  </si>
  <si>
    <t>Dev</t>
  </si>
  <si>
    <t>Unit</t>
  </si>
  <si>
    <t>Mass flow kt/yr</t>
  </si>
  <si>
    <t>Throughput</t>
  </si>
  <si>
    <t>Throughput score</t>
  </si>
  <si>
    <t>rxn time score</t>
  </si>
  <si>
    <t>strg time score</t>
  </si>
  <si>
    <t>temp ext min</t>
  </si>
  <si>
    <t>temp ext max</t>
  </si>
  <si>
    <t>Press min</t>
  </si>
  <si>
    <t>Press max</t>
  </si>
  <si>
    <t>Materials</t>
  </si>
  <si>
    <t>0: Evaporation</t>
  </si>
  <si>
    <t>-1.0 Membrane</t>
  </si>
  <si>
    <t>-1.1 Fermentation</t>
  </si>
  <si>
    <t>H2O</t>
  </si>
  <si>
    <t>CO2 price $/ton</t>
  </si>
  <si>
    <t>Treatment price $/kg COD</t>
  </si>
  <si>
    <t>Threshold</t>
  </si>
  <si>
    <t>Formula</t>
  </si>
  <si>
    <t>Coefficients</t>
  </si>
  <si>
    <t>Concentrations</t>
  </si>
  <si>
    <t>Value</t>
  </si>
  <si>
    <t>i</t>
  </si>
  <si>
    <t>Name</t>
  </si>
  <si>
    <t>Concentration kg/m^3</t>
  </si>
  <si>
    <t>MW</t>
  </si>
  <si>
    <t>Price $/kg</t>
  </si>
  <si>
    <t>Organic?</t>
  </si>
  <si>
    <t>C</t>
  </si>
  <si>
    <t>H</t>
  </si>
  <si>
    <t>O</t>
  </si>
  <si>
    <t>CO2</t>
  </si>
  <si>
    <t>O2</t>
  </si>
  <si>
    <t>CO2 equiv kg/m^3</t>
  </si>
  <si>
    <t>COD kg/m^3</t>
  </si>
  <si>
    <t>Price $/m^3</t>
  </si>
  <si>
    <t>CO2 cost $/m^3</t>
  </si>
  <si>
    <t>Treatment Cost $/m^3</t>
  </si>
  <si>
    <t>Value $/m^3</t>
  </si>
  <si>
    <t>Yes</t>
  </si>
  <si>
    <t>No</t>
  </si>
  <si>
    <t xml:space="preserve"> </t>
  </si>
  <si>
    <t>Indices</t>
  </si>
  <si>
    <t>Case inputs</t>
  </si>
  <si>
    <t>Case inputs (econ)</t>
  </si>
  <si>
    <t>Stream inputs (econ)</t>
  </si>
  <si>
    <t>Case output (econ)</t>
  </si>
  <si>
    <t>Toxilogical impact</t>
  </si>
  <si>
    <t>Global atmopshere impact</t>
  </si>
  <si>
    <t>-Log(LC50)FM Log(mol/L)</t>
  </si>
  <si>
    <t>-Log(LC50)DM Log(mol/L)</t>
  </si>
  <si>
    <t>-Log(LD50) Log(mol/kg)</t>
  </si>
  <si>
    <t>Log(BCF)</t>
  </si>
  <si>
    <t>-Log(PEL) Log(mol/m3)</t>
  </si>
  <si>
    <t>-Log(PCO)</t>
  </si>
  <si>
    <t>Log(GWP)</t>
  </si>
  <si>
    <t>Log(ODP)</t>
  </si>
  <si>
    <t>Log(AP)</t>
  </si>
  <si>
    <t>LC50FM mol/L</t>
  </si>
  <si>
    <t>LC50DM mol/L</t>
  </si>
  <si>
    <t>LD50 mol/kg</t>
  </si>
  <si>
    <t>BCF</t>
  </si>
  <si>
    <t>PEL mol/m3</t>
  </si>
  <si>
    <t>PCO</t>
  </si>
  <si>
    <t>GWP</t>
  </si>
  <si>
    <t>ODP</t>
  </si>
  <si>
    <t>AP</t>
  </si>
  <si>
    <t>name</t>
  </si>
  <si>
    <t>Weight</t>
  </si>
  <si>
    <t>Toxilogical impact/kg</t>
  </si>
  <si>
    <t>Global atmopshere impact/kg</t>
  </si>
  <si>
    <t>Toxilogical impact/m^3</t>
  </si>
  <si>
    <t>Global atmopshere impact/m^3</t>
  </si>
  <si>
    <t>Average</t>
  </si>
  <si>
    <t>Stream inputs (enviro)</t>
  </si>
  <si>
    <t>Case inputs (enviro)</t>
  </si>
  <si>
    <t>Total toxic</t>
  </si>
  <si>
    <t>Total atmospheric</t>
  </si>
  <si>
    <t>Category</t>
  </si>
  <si>
    <t>Impact property</t>
  </si>
  <si>
    <t>Case output (enviro)</t>
  </si>
  <si>
    <t>Payback Threshold</t>
  </si>
  <si>
    <t>ROI Threshold</t>
  </si>
  <si>
    <t>Power/ heating</t>
  </si>
  <si>
    <t>Consum-eables</t>
  </si>
  <si>
    <t>Payback</t>
  </si>
  <si>
    <t>ROI</t>
  </si>
  <si>
    <t xml:space="preserve">Inputs from process simulation </t>
  </si>
  <si>
    <t>Taylor CAPEX estimation (input)</t>
  </si>
  <si>
    <t>(Output)</t>
  </si>
  <si>
    <t>Case 1</t>
  </si>
  <si>
    <t>Case 2</t>
  </si>
  <si>
    <t>Case 3</t>
  </si>
  <si>
    <t>Case 4</t>
  </si>
  <si>
    <t>Outputs from Eeconomic analysis</t>
  </si>
  <si>
    <t>CAPEX (MM$)</t>
  </si>
  <si>
    <t>-1,11: Azeotropic distillation</t>
  </si>
  <si>
    <t>Error</t>
  </si>
  <si>
    <t>Task</t>
  </si>
  <si>
    <t>Prelim value</t>
  </si>
  <si>
    <t>Decision 2</t>
  </si>
  <si>
    <t>Prelim value (MM$)</t>
  </si>
  <si>
    <t>Payback (MM$)</t>
  </si>
  <si>
    <t xml:space="preserve">Fix if time </t>
  </si>
  <si>
    <t>© 2018 Dominic Silk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</si>
</sst>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"/>
    <numFmt numFmtId="165" formatCode="0.000"/>
    <numFmt numFmtId="166" formatCode="0.0"/>
  </numFmts>
  <fonts count="17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b/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000000"/>
      <name val="Calibri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</fills>
  <borders count="1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</borders>
  <cellStyleXfs count="555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9" applyNumberFormat="0" applyAlignment="0" applyProtection="0"/>
  </cellStyleXfs>
  <cellXfs count="93">
    <xf numFmtId="0" fontId="0" fillId="0" borderId="0" xfId="0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2" borderId="0" xfId="0" applyFill="1"/>
    <xf numFmtId="0" fontId="2" fillId="2" borderId="0" xfId="0" applyFont="1" applyFill="1"/>
    <xf numFmtId="0" fontId="0" fillId="2" borderId="0" xfId="0" applyFill="1" applyAlignment="1">
      <alignment vertical="center"/>
    </xf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0" fillId="2" borderId="1" xfId="0" applyFill="1" applyBorder="1"/>
    <xf numFmtId="0" fontId="0" fillId="2" borderId="2" xfId="0" applyFill="1" applyBorder="1"/>
    <xf numFmtId="0" fontId="0" fillId="2" borderId="0" xfId="0" applyFill="1" applyBorder="1" applyAlignment="1"/>
    <xf numFmtId="0" fontId="0" fillId="2" borderId="0" xfId="0" applyFill="1" applyAlignment="1"/>
    <xf numFmtId="2" fontId="0" fillId="2" borderId="0" xfId="0" applyNumberFormat="1" applyFill="1"/>
    <xf numFmtId="0" fontId="0" fillId="2" borderId="0" xfId="0" applyFont="1" applyFill="1"/>
    <xf numFmtId="1" fontId="0" fillId="2" borderId="0" xfId="0" applyNumberFormat="1" applyFill="1"/>
    <xf numFmtId="0" fontId="0" fillId="0" borderId="0" xfId="0" applyFont="1" applyFill="1"/>
    <xf numFmtId="0" fontId="0" fillId="2" borderId="3" xfId="0" applyFill="1" applyBorder="1"/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0" fontId="1" fillId="0" borderId="0" xfId="0" applyFont="1"/>
    <xf numFmtId="0" fontId="0" fillId="2" borderId="0" xfId="0" applyFill="1" applyBorder="1"/>
    <xf numFmtId="2" fontId="0" fillId="2" borderId="3" xfId="0" applyNumberFormat="1" applyFill="1" applyBorder="1"/>
    <xf numFmtId="164" fontId="0" fillId="2" borderId="0" xfId="0" applyNumberFormat="1" applyFill="1"/>
    <xf numFmtId="0" fontId="0" fillId="3" borderId="3" xfId="0" applyFill="1" applyBorder="1"/>
    <xf numFmtId="0" fontId="0" fillId="0" borderId="3" xfId="0" applyBorder="1"/>
    <xf numFmtId="2" fontId="8" fillId="0" borderId="0" xfId="0" applyNumberFormat="1" applyFont="1" applyAlignment="1">
      <alignment horizontal="center"/>
    </xf>
    <xf numFmtId="2" fontId="0" fillId="0" borderId="0" xfId="0" applyNumberFormat="1" applyFont="1" applyFill="1"/>
    <xf numFmtId="0" fontId="0" fillId="2" borderId="0" xfId="0" applyNumberFormat="1" applyFill="1"/>
    <xf numFmtId="0" fontId="3" fillId="2" borderId="0" xfId="0" applyFont="1" applyFill="1"/>
    <xf numFmtId="2" fontId="0" fillId="0" borderId="0" xfId="0" applyNumberFormat="1" applyFill="1" applyBorder="1"/>
    <xf numFmtId="0" fontId="0" fillId="0" borderId="0" xfId="0" applyFill="1" applyBorder="1"/>
    <xf numFmtId="2" fontId="8" fillId="0" borderId="0" xfId="0" applyNumberFormat="1" applyFont="1" applyFill="1" applyBorder="1" applyAlignment="1">
      <alignment horizontal="center"/>
    </xf>
    <xf numFmtId="0" fontId="1" fillId="0" borderId="0" xfId="0" applyFont="1" applyFill="1" applyBorder="1"/>
    <xf numFmtId="2" fontId="1" fillId="0" borderId="0" xfId="0" applyNumberFormat="1" applyFont="1" applyFill="1" applyBorder="1" applyAlignment="1">
      <alignment horizontal="center"/>
    </xf>
    <xf numFmtId="0" fontId="0" fillId="2" borderId="4" xfId="0" applyFill="1" applyBorder="1"/>
    <xf numFmtId="0" fontId="0" fillId="2" borderId="5" xfId="0" applyFill="1" applyBorder="1"/>
    <xf numFmtId="0" fontId="0" fillId="3" borderId="6" xfId="0" applyFill="1" applyBorder="1"/>
    <xf numFmtId="0" fontId="0" fillId="2" borderId="6" xfId="0" applyFill="1" applyBorder="1"/>
    <xf numFmtId="0" fontId="0" fillId="2" borderId="7" xfId="0" applyFill="1" applyBorder="1"/>
    <xf numFmtId="2" fontId="0" fillId="2" borderId="0" xfId="0" applyNumberFormat="1" applyFill="1" applyBorder="1"/>
    <xf numFmtId="0" fontId="2" fillId="2" borderId="0" xfId="0" applyFont="1" applyFill="1" applyBorder="1"/>
    <xf numFmtId="0" fontId="2" fillId="2" borderId="8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1" fillId="6" borderId="3" xfId="553" applyBorder="1"/>
    <xf numFmtId="0" fontId="12" fillId="7" borderId="9" xfId="554"/>
    <xf numFmtId="2" fontId="11" fillId="6" borderId="3" xfId="553" applyNumberFormat="1" applyBorder="1"/>
    <xf numFmtId="0" fontId="13" fillId="3" borderId="3" xfId="0" applyFont="1" applyFill="1" applyBorder="1"/>
    <xf numFmtId="2" fontId="12" fillId="7" borderId="9" xfId="554" applyNumberFormat="1"/>
    <xf numFmtId="166" fontId="12" fillId="7" borderId="9" xfId="554" applyNumberFormat="1"/>
    <xf numFmtId="2" fontId="12" fillId="7" borderId="3" xfId="554" applyNumberFormat="1" applyBorder="1"/>
    <xf numFmtId="0" fontId="11" fillId="6" borderId="12" xfId="553" applyBorder="1"/>
    <xf numFmtId="0" fontId="13" fillId="2" borderId="2" xfId="0" applyFont="1" applyFill="1" applyBorder="1" applyAlignment="1"/>
    <xf numFmtId="0" fontId="0" fillId="3" borderId="3" xfId="0" applyFill="1" applyBorder="1" applyAlignment="1">
      <alignment vertical="center" wrapText="1"/>
    </xf>
    <xf numFmtId="0" fontId="0" fillId="3" borderId="3" xfId="0" applyFill="1" applyBorder="1" applyAlignment="1">
      <alignment vertical="center"/>
    </xf>
    <xf numFmtId="166" fontId="11" fillId="6" borderId="3" xfId="553" applyNumberFormat="1" applyBorder="1"/>
    <xf numFmtId="0" fontId="0" fillId="3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 wrapText="1"/>
    </xf>
    <xf numFmtId="165" fontId="11" fillId="6" borderId="3" xfId="553" applyNumberFormat="1" applyBorder="1"/>
    <xf numFmtId="0" fontId="13" fillId="3" borderId="3" xfId="0" applyFont="1" applyFill="1" applyBorder="1" applyAlignment="1">
      <alignment horizontal="center" vertical="center"/>
    </xf>
    <xf numFmtId="0" fontId="11" fillId="6" borderId="3" xfId="553" applyBorder="1" applyAlignment="1">
      <alignment wrapText="1"/>
    </xf>
    <xf numFmtId="0" fontId="12" fillId="7" borderId="13" xfId="554" applyBorder="1"/>
    <xf numFmtId="0" fontId="12" fillId="7" borderId="14" xfId="554" applyBorder="1"/>
    <xf numFmtId="0" fontId="12" fillId="7" borderId="15" xfId="554" applyBorder="1"/>
    <xf numFmtId="0" fontId="15" fillId="4" borderId="3" xfId="551" applyFont="1" applyBorder="1" applyAlignment="1">
      <alignment horizontal="center"/>
    </xf>
    <xf numFmtId="0" fontId="14" fillId="5" borderId="3" xfId="552" applyFont="1" applyBorder="1" applyAlignment="1">
      <alignment horizontal="center"/>
    </xf>
    <xf numFmtId="166" fontId="11" fillId="6" borderId="9" xfId="553" applyNumberFormat="1" applyBorder="1"/>
    <xf numFmtId="166" fontId="11" fillId="6" borderId="15" xfId="553" applyNumberFormat="1" applyBorder="1"/>
    <xf numFmtId="166" fontId="12" fillId="7" borderId="15" xfId="554" applyNumberFormat="1" applyBorder="1"/>
    <xf numFmtId="0" fontId="2" fillId="2" borderId="0" xfId="0" applyFont="1" applyFill="1" applyAlignment="1">
      <alignment horizontal="left"/>
    </xf>
    <xf numFmtId="0" fontId="0" fillId="2" borderId="0" xfId="0" applyFill="1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3" fillId="2" borderId="0" xfId="0" applyFont="1" applyFill="1" applyAlignment="1">
      <alignment horizontal="center"/>
    </xf>
    <xf numFmtId="0" fontId="13" fillId="3" borderId="8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/>
    </xf>
    <xf numFmtId="0" fontId="13" fillId="3" borderId="8" xfId="0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0" fontId="13" fillId="3" borderId="6" xfId="0" applyFont="1" applyFill="1" applyBorder="1" applyAlignment="1">
      <alignment horizontal="center"/>
    </xf>
    <xf numFmtId="0" fontId="13" fillId="3" borderId="4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0" fontId="13" fillId="3" borderId="12" xfId="0" applyFont="1" applyFill="1" applyBorder="1" applyAlignment="1">
      <alignment horizontal="center" vertical="center" wrapText="1"/>
    </xf>
    <xf numFmtId="0" fontId="13" fillId="2" borderId="0" xfId="0" applyFont="1" applyFill="1"/>
  </cellXfs>
  <cellStyles count="555">
    <cellStyle name="Bad" xfId="55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Good" xfId="55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Neutral" xfId="553" builtinId="28"/>
    <cellStyle name="Normal" xfId="0" builtinId="0"/>
    <cellStyle name="Output" xfId="554" builtinId="21"/>
  </cellStyles>
  <dxfs count="105">
    <dxf>
      <font>
        <color auto="1"/>
      </font>
      <fill>
        <patternFill>
          <bgColor rgb="FFFFEB9C"/>
        </patternFill>
      </fill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auto="1"/>
      </font>
      <fill>
        <patternFill>
          <bgColor rgb="FFFFEB9C"/>
        </patternFill>
      </fill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/>
        <right/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99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99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99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99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99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99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99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7C80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theme="9" tint="0.59996337778862885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7C8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 patternType="solid">
          <fgColor indexed="64"/>
          <bgColor theme="9" tint="0.59996337778862885"/>
        </patternFill>
      </fill>
      <border>
        <left/>
        <right/>
        <top/>
        <bottom/>
      </border>
    </dxf>
    <dxf>
      <font>
        <color auto="1"/>
      </font>
      <fill>
        <patternFill patternType="solid">
          <fgColor indexed="64"/>
          <bgColor theme="9" tint="0.59996337778862885"/>
        </patternFill>
      </fill>
      <border>
        <left/>
        <right/>
        <top/>
        <bottom/>
      </border>
    </dxf>
    <dxf>
      <font>
        <color auto="1"/>
      </font>
      <fill>
        <patternFill patternType="solid">
          <fgColor indexed="64"/>
          <bgColor rgb="FFFF9999"/>
        </patternFill>
      </fill>
      <border>
        <left/>
        <right/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none">
          <fgColor indexed="64"/>
          <bgColor auto="1"/>
        </patternFill>
      </fill>
    </dxf>
    <dxf>
      <font>
        <color theme="0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solid">
          <fgColor indexed="64"/>
          <bgColor theme="9" tint="0.59996337778862885"/>
        </patternFill>
      </fill>
      <border>
        <left/>
        <right/>
        <top/>
        <bottom/>
      </border>
    </dxf>
    <dxf>
      <font>
        <color auto="1"/>
      </font>
      <fill>
        <patternFill patternType="solid">
          <fgColor indexed="64"/>
          <bgColor theme="9" tint="0.59996337778862885"/>
        </patternFill>
      </fill>
      <border>
        <left/>
        <right/>
        <top/>
        <bottom/>
      </border>
    </dxf>
    <dxf>
      <font>
        <color auto="1"/>
      </font>
      <fill>
        <patternFill patternType="solid">
          <fgColor indexed="64"/>
          <bgColor theme="9" tint="0.59996337778862885"/>
        </patternFill>
      </fill>
      <border>
        <left/>
        <right/>
        <top/>
        <bottom/>
      </border>
    </dxf>
    <dxf>
      <font>
        <color auto="1"/>
      </font>
      <fill>
        <patternFill patternType="solid">
          <fgColor indexed="64"/>
          <bgColor theme="9" tint="0.59996337778862885"/>
        </patternFill>
      </fill>
      <border>
        <left/>
        <right/>
        <top/>
        <bottom/>
      </border>
    </dxf>
    <dxf>
      <font>
        <color auto="1"/>
      </font>
      <fill>
        <patternFill patternType="solid">
          <fgColor indexed="64"/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solid">
          <fgColor indexed="64"/>
          <bgColor theme="0" tint="-0.149998474074526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solid">
          <fgColor indexed="64"/>
          <bgColor theme="9" tint="0.59996337778862885"/>
        </patternFill>
      </fill>
      <border>
        <left/>
        <right/>
        <top/>
        <bottom/>
      </border>
    </dxf>
    <dxf>
      <font>
        <color auto="1"/>
      </font>
      <fill>
        <patternFill patternType="solid">
          <fgColor indexed="64"/>
          <bgColor theme="9" tint="0.59996337778862885"/>
        </patternFill>
      </fill>
      <border>
        <left/>
        <right/>
        <top/>
        <bottom/>
      </border>
    </dxf>
    <dxf>
      <font>
        <color auto="1"/>
      </font>
      <fill>
        <patternFill patternType="solid">
          <fgColor indexed="64"/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solid">
          <fgColor indexed="64"/>
          <bgColor theme="9" tint="0.59996337778862885"/>
        </patternFill>
      </fill>
      <border>
        <left/>
        <right/>
        <top/>
        <bottom/>
      </border>
    </dxf>
    <dxf>
      <font>
        <color auto="1"/>
      </font>
      <fill>
        <patternFill patternType="solid">
          <fgColor indexed="64"/>
          <bgColor theme="9" tint="0.59996337778862885"/>
        </patternFill>
      </fill>
      <border>
        <left/>
        <right/>
        <top/>
        <bottom/>
      </border>
    </dxf>
    <dxf>
      <font>
        <color auto="1"/>
      </font>
      <fill>
        <patternFill patternType="solid">
          <fgColor indexed="64"/>
          <bgColor theme="9" tint="0.59996337778862885"/>
        </patternFill>
      </fill>
      <border>
        <left/>
        <right/>
        <top/>
        <bottom/>
      </border>
    </dxf>
    <dxf>
      <font>
        <color auto="1"/>
      </font>
      <fill>
        <patternFill patternType="solid">
          <fgColor indexed="64"/>
          <bgColor theme="2" tint="-9.9978637043366805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solid">
          <fgColor indexed="64"/>
          <bgColor theme="9" tint="0.59996337778862885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FF9999"/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image" Target="../media/image15.emf"/><Relationship Id="rId18" Type="http://schemas.openxmlformats.org/officeDocument/2006/relationships/image" Target="../media/image10.emf"/><Relationship Id="rId26" Type="http://schemas.openxmlformats.org/officeDocument/2006/relationships/image" Target="../media/image2.emf"/><Relationship Id="rId3" Type="http://schemas.openxmlformats.org/officeDocument/2006/relationships/image" Target="../media/image25.emf"/><Relationship Id="rId21" Type="http://schemas.openxmlformats.org/officeDocument/2006/relationships/image" Target="../media/image7.emf"/><Relationship Id="rId7" Type="http://schemas.openxmlformats.org/officeDocument/2006/relationships/image" Target="../media/image21.emf"/><Relationship Id="rId12" Type="http://schemas.openxmlformats.org/officeDocument/2006/relationships/image" Target="../media/image16.emf"/><Relationship Id="rId17" Type="http://schemas.openxmlformats.org/officeDocument/2006/relationships/image" Target="../media/image11.emf"/><Relationship Id="rId25" Type="http://schemas.openxmlformats.org/officeDocument/2006/relationships/image" Target="../media/image3.emf"/><Relationship Id="rId2" Type="http://schemas.openxmlformats.org/officeDocument/2006/relationships/image" Target="../media/image26.emf"/><Relationship Id="rId16" Type="http://schemas.openxmlformats.org/officeDocument/2006/relationships/image" Target="../media/image12.emf"/><Relationship Id="rId20" Type="http://schemas.openxmlformats.org/officeDocument/2006/relationships/image" Target="../media/image8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11" Type="http://schemas.openxmlformats.org/officeDocument/2006/relationships/image" Target="../media/image17.emf"/><Relationship Id="rId24" Type="http://schemas.openxmlformats.org/officeDocument/2006/relationships/image" Target="../media/image4.emf"/><Relationship Id="rId5" Type="http://schemas.openxmlformats.org/officeDocument/2006/relationships/image" Target="../media/image23.emf"/><Relationship Id="rId15" Type="http://schemas.openxmlformats.org/officeDocument/2006/relationships/image" Target="../media/image13.emf"/><Relationship Id="rId23" Type="http://schemas.openxmlformats.org/officeDocument/2006/relationships/image" Target="../media/image5.emf"/><Relationship Id="rId10" Type="http://schemas.openxmlformats.org/officeDocument/2006/relationships/image" Target="../media/image18.emf"/><Relationship Id="rId19" Type="http://schemas.openxmlformats.org/officeDocument/2006/relationships/image" Target="../media/image9.emf"/><Relationship Id="rId4" Type="http://schemas.openxmlformats.org/officeDocument/2006/relationships/image" Target="../media/image24.emf"/><Relationship Id="rId9" Type="http://schemas.openxmlformats.org/officeDocument/2006/relationships/image" Target="../media/image19.emf"/><Relationship Id="rId14" Type="http://schemas.openxmlformats.org/officeDocument/2006/relationships/image" Target="../media/image14.emf"/><Relationship Id="rId22" Type="http://schemas.openxmlformats.org/officeDocument/2006/relationships/image" Target="../media/image6.emf"/><Relationship Id="rId27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</xdr:row>
          <xdr:rowOff>123825</xdr:rowOff>
        </xdr:from>
        <xdr:to>
          <xdr:col>29</xdr:col>
          <xdr:colOff>28575</xdr:colOff>
          <xdr:row>8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Generate flowsheet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180975</xdr:colOff>
          <xdr:row>9</xdr:row>
          <xdr:rowOff>133350</xdr:rowOff>
        </xdr:from>
        <xdr:to>
          <xdr:col>29</xdr:col>
          <xdr:colOff>28575</xdr:colOff>
          <xdr:row>14</xdr:row>
          <xdr:rowOff>161925</xdr:rowOff>
        </xdr:to>
        <xdr:sp macro="" textlink="">
          <xdr:nvSpPr>
            <xdr:cNvPr id="7194" name="Button 26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Reaction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</xdr:row>
          <xdr:rowOff>104775</xdr:rowOff>
        </xdr:from>
        <xdr:to>
          <xdr:col>29</xdr:col>
          <xdr:colOff>28575</xdr:colOff>
          <xdr:row>2</xdr:row>
          <xdr:rowOff>142875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1104900</xdr:colOff>
          <xdr:row>23</xdr:row>
          <xdr:rowOff>28575</xdr:rowOff>
        </xdr:from>
        <xdr:to>
          <xdr:col>21</xdr:col>
          <xdr:colOff>1238250</xdr:colOff>
          <xdr:row>24</xdr:row>
          <xdr:rowOff>0</xdr:rowOff>
        </xdr:to>
        <xdr:sp macro="" textlink="">
          <xdr:nvSpPr>
            <xdr:cNvPr id="7203" name="CheckBox1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1104900</xdr:colOff>
          <xdr:row>24</xdr:row>
          <xdr:rowOff>19050</xdr:rowOff>
        </xdr:from>
        <xdr:to>
          <xdr:col>21</xdr:col>
          <xdr:colOff>1238250</xdr:colOff>
          <xdr:row>24</xdr:row>
          <xdr:rowOff>180975</xdr:rowOff>
        </xdr:to>
        <xdr:sp macro="" textlink="">
          <xdr:nvSpPr>
            <xdr:cNvPr id="7204" name="CheckBox2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1104900</xdr:colOff>
          <xdr:row>25</xdr:row>
          <xdr:rowOff>19050</xdr:rowOff>
        </xdr:from>
        <xdr:to>
          <xdr:col>21</xdr:col>
          <xdr:colOff>1247775</xdr:colOff>
          <xdr:row>25</xdr:row>
          <xdr:rowOff>180975</xdr:rowOff>
        </xdr:to>
        <xdr:sp macro="" textlink="">
          <xdr:nvSpPr>
            <xdr:cNvPr id="7205" name="CheckBox3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1104900</xdr:colOff>
          <xdr:row>26</xdr:row>
          <xdr:rowOff>19050</xdr:rowOff>
        </xdr:from>
        <xdr:to>
          <xdr:col>21</xdr:col>
          <xdr:colOff>1247775</xdr:colOff>
          <xdr:row>26</xdr:row>
          <xdr:rowOff>180975</xdr:rowOff>
        </xdr:to>
        <xdr:sp macro="" textlink="">
          <xdr:nvSpPr>
            <xdr:cNvPr id="7206" name="CheckBox4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1104900</xdr:colOff>
          <xdr:row>27</xdr:row>
          <xdr:rowOff>28575</xdr:rowOff>
        </xdr:from>
        <xdr:to>
          <xdr:col>21</xdr:col>
          <xdr:colOff>1238250</xdr:colOff>
          <xdr:row>28</xdr:row>
          <xdr:rowOff>0</xdr:rowOff>
        </xdr:to>
        <xdr:sp macro="" textlink="">
          <xdr:nvSpPr>
            <xdr:cNvPr id="7207" name="CheckBox5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1104900</xdr:colOff>
          <xdr:row>28</xdr:row>
          <xdr:rowOff>19050</xdr:rowOff>
        </xdr:from>
        <xdr:to>
          <xdr:col>21</xdr:col>
          <xdr:colOff>1238250</xdr:colOff>
          <xdr:row>28</xdr:row>
          <xdr:rowOff>180975</xdr:rowOff>
        </xdr:to>
        <xdr:sp macro="" textlink="">
          <xdr:nvSpPr>
            <xdr:cNvPr id="7208" name="CheckBox6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1104900</xdr:colOff>
          <xdr:row>29</xdr:row>
          <xdr:rowOff>19050</xdr:rowOff>
        </xdr:from>
        <xdr:to>
          <xdr:col>21</xdr:col>
          <xdr:colOff>1247775</xdr:colOff>
          <xdr:row>29</xdr:row>
          <xdr:rowOff>180975</xdr:rowOff>
        </xdr:to>
        <xdr:sp macro="" textlink="">
          <xdr:nvSpPr>
            <xdr:cNvPr id="7209" name="CheckBox7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1104900</xdr:colOff>
          <xdr:row>30</xdr:row>
          <xdr:rowOff>19050</xdr:rowOff>
        </xdr:from>
        <xdr:to>
          <xdr:col>21</xdr:col>
          <xdr:colOff>1247775</xdr:colOff>
          <xdr:row>30</xdr:row>
          <xdr:rowOff>180975</xdr:rowOff>
        </xdr:to>
        <xdr:sp macro="" textlink="">
          <xdr:nvSpPr>
            <xdr:cNvPr id="7210" name="CheckBox8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904875</xdr:colOff>
          <xdr:row>23</xdr:row>
          <xdr:rowOff>19050</xdr:rowOff>
        </xdr:from>
        <xdr:to>
          <xdr:col>22</xdr:col>
          <xdr:colOff>1038225</xdr:colOff>
          <xdr:row>23</xdr:row>
          <xdr:rowOff>180975</xdr:rowOff>
        </xdr:to>
        <xdr:sp macro="" textlink="">
          <xdr:nvSpPr>
            <xdr:cNvPr id="7211" name="CheckBox9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904875</xdr:colOff>
          <xdr:row>24</xdr:row>
          <xdr:rowOff>9525</xdr:rowOff>
        </xdr:from>
        <xdr:to>
          <xdr:col>22</xdr:col>
          <xdr:colOff>1038225</xdr:colOff>
          <xdr:row>24</xdr:row>
          <xdr:rowOff>171450</xdr:rowOff>
        </xdr:to>
        <xdr:sp macro="" textlink="">
          <xdr:nvSpPr>
            <xdr:cNvPr id="7212" name="CheckBox10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904875</xdr:colOff>
          <xdr:row>25</xdr:row>
          <xdr:rowOff>9525</xdr:rowOff>
        </xdr:from>
        <xdr:to>
          <xdr:col>23</xdr:col>
          <xdr:colOff>0</xdr:colOff>
          <xdr:row>25</xdr:row>
          <xdr:rowOff>171450</xdr:rowOff>
        </xdr:to>
        <xdr:sp macro="" textlink="">
          <xdr:nvSpPr>
            <xdr:cNvPr id="7213" name="CheckBox11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904875</xdr:colOff>
          <xdr:row>26</xdr:row>
          <xdr:rowOff>9525</xdr:rowOff>
        </xdr:from>
        <xdr:to>
          <xdr:col>23</xdr:col>
          <xdr:colOff>0</xdr:colOff>
          <xdr:row>26</xdr:row>
          <xdr:rowOff>171450</xdr:rowOff>
        </xdr:to>
        <xdr:sp macro="" textlink="">
          <xdr:nvSpPr>
            <xdr:cNvPr id="7214" name="CheckBox12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904875</xdr:colOff>
          <xdr:row>27</xdr:row>
          <xdr:rowOff>19050</xdr:rowOff>
        </xdr:from>
        <xdr:to>
          <xdr:col>22</xdr:col>
          <xdr:colOff>1038225</xdr:colOff>
          <xdr:row>27</xdr:row>
          <xdr:rowOff>180975</xdr:rowOff>
        </xdr:to>
        <xdr:sp macro="" textlink="">
          <xdr:nvSpPr>
            <xdr:cNvPr id="7215" name="CheckBox13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904875</xdr:colOff>
          <xdr:row>28</xdr:row>
          <xdr:rowOff>9525</xdr:rowOff>
        </xdr:from>
        <xdr:to>
          <xdr:col>22</xdr:col>
          <xdr:colOff>1038225</xdr:colOff>
          <xdr:row>28</xdr:row>
          <xdr:rowOff>171450</xdr:rowOff>
        </xdr:to>
        <xdr:sp macro="" textlink="">
          <xdr:nvSpPr>
            <xdr:cNvPr id="7216" name="CheckBox14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904875</xdr:colOff>
          <xdr:row>29</xdr:row>
          <xdr:rowOff>9525</xdr:rowOff>
        </xdr:from>
        <xdr:to>
          <xdr:col>23</xdr:col>
          <xdr:colOff>0</xdr:colOff>
          <xdr:row>29</xdr:row>
          <xdr:rowOff>171450</xdr:rowOff>
        </xdr:to>
        <xdr:sp macro="" textlink="">
          <xdr:nvSpPr>
            <xdr:cNvPr id="7217" name="CheckBox15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904875</xdr:colOff>
          <xdr:row>30</xdr:row>
          <xdr:rowOff>9525</xdr:rowOff>
        </xdr:from>
        <xdr:to>
          <xdr:col>23</xdr:col>
          <xdr:colOff>0</xdr:colOff>
          <xdr:row>30</xdr:row>
          <xdr:rowOff>171450</xdr:rowOff>
        </xdr:to>
        <xdr:sp macro="" textlink="">
          <xdr:nvSpPr>
            <xdr:cNvPr id="7218" name="CheckBox16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1000125</xdr:colOff>
          <xdr:row>23</xdr:row>
          <xdr:rowOff>28575</xdr:rowOff>
        </xdr:from>
        <xdr:to>
          <xdr:col>23</xdr:col>
          <xdr:colOff>1133475</xdr:colOff>
          <xdr:row>24</xdr:row>
          <xdr:rowOff>0</xdr:rowOff>
        </xdr:to>
        <xdr:sp macro="" textlink="">
          <xdr:nvSpPr>
            <xdr:cNvPr id="7219" name="CheckBox17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1000125</xdr:colOff>
          <xdr:row>24</xdr:row>
          <xdr:rowOff>19050</xdr:rowOff>
        </xdr:from>
        <xdr:to>
          <xdr:col>23</xdr:col>
          <xdr:colOff>1133475</xdr:colOff>
          <xdr:row>24</xdr:row>
          <xdr:rowOff>180975</xdr:rowOff>
        </xdr:to>
        <xdr:sp macro="" textlink="">
          <xdr:nvSpPr>
            <xdr:cNvPr id="7220" name="CheckBox18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1000125</xdr:colOff>
          <xdr:row>25</xdr:row>
          <xdr:rowOff>19050</xdr:rowOff>
        </xdr:from>
        <xdr:to>
          <xdr:col>24</xdr:col>
          <xdr:colOff>0</xdr:colOff>
          <xdr:row>25</xdr:row>
          <xdr:rowOff>180975</xdr:rowOff>
        </xdr:to>
        <xdr:sp macro="" textlink="">
          <xdr:nvSpPr>
            <xdr:cNvPr id="7221" name="CheckBox19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1000125</xdr:colOff>
          <xdr:row>26</xdr:row>
          <xdr:rowOff>19050</xdr:rowOff>
        </xdr:from>
        <xdr:to>
          <xdr:col>24</xdr:col>
          <xdr:colOff>0</xdr:colOff>
          <xdr:row>26</xdr:row>
          <xdr:rowOff>180975</xdr:rowOff>
        </xdr:to>
        <xdr:sp macro="" textlink="">
          <xdr:nvSpPr>
            <xdr:cNvPr id="7222" name="CheckBox20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1000125</xdr:colOff>
          <xdr:row>27</xdr:row>
          <xdr:rowOff>28575</xdr:rowOff>
        </xdr:from>
        <xdr:to>
          <xdr:col>23</xdr:col>
          <xdr:colOff>1133475</xdr:colOff>
          <xdr:row>28</xdr:row>
          <xdr:rowOff>0</xdr:rowOff>
        </xdr:to>
        <xdr:sp macro="" textlink="">
          <xdr:nvSpPr>
            <xdr:cNvPr id="7223" name="CheckBox21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1000125</xdr:colOff>
          <xdr:row>28</xdr:row>
          <xdr:rowOff>19050</xdr:rowOff>
        </xdr:from>
        <xdr:to>
          <xdr:col>23</xdr:col>
          <xdr:colOff>1133475</xdr:colOff>
          <xdr:row>28</xdr:row>
          <xdr:rowOff>180975</xdr:rowOff>
        </xdr:to>
        <xdr:sp macro="" textlink="">
          <xdr:nvSpPr>
            <xdr:cNvPr id="7224" name="CheckBox22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1000125</xdr:colOff>
          <xdr:row>29</xdr:row>
          <xdr:rowOff>19050</xdr:rowOff>
        </xdr:from>
        <xdr:to>
          <xdr:col>24</xdr:col>
          <xdr:colOff>0</xdr:colOff>
          <xdr:row>29</xdr:row>
          <xdr:rowOff>180975</xdr:rowOff>
        </xdr:to>
        <xdr:sp macro="" textlink="">
          <xdr:nvSpPr>
            <xdr:cNvPr id="7225" name="CheckBox23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1000125</xdr:colOff>
          <xdr:row>30</xdr:row>
          <xdr:rowOff>19050</xdr:rowOff>
        </xdr:from>
        <xdr:to>
          <xdr:col>24</xdr:col>
          <xdr:colOff>0</xdr:colOff>
          <xdr:row>30</xdr:row>
          <xdr:rowOff>180975</xdr:rowOff>
        </xdr:to>
        <xdr:sp macro="" textlink="">
          <xdr:nvSpPr>
            <xdr:cNvPr id="7226" name="CheckBox24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1104900</xdr:colOff>
          <xdr:row>31</xdr:row>
          <xdr:rowOff>19050</xdr:rowOff>
        </xdr:from>
        <xdr:to>
          <xdr:col>21</xdr:col>
          <xdr:colOff>1247775</xdr:colOff>
          <xdr:row>31</xdr:row>
          <xdr:rowOff>180975</xdr:rowOff>
        </xdr:to>
        <xdr:sp macro="" textlink="">
          <xdr:nvSpPr>
            <xdr:cNvPr id="7227" name="CheckBox25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904875</xdr:colOff>
          <xdr:row>31</xdr:row>
          <xdr:rowOff>9525</xdr:rowOff>
        </xdr:from>
        <xdr:to>
          <xdr:col>23</xdr:col>
          <xdr:colOff>0</xdr:colOff>
          <xdr:row>31</xdr:row>
          <xdr:rowOff>171450</xdr:rowOff>
        </xdr:to>
        <xdr:sp macro="" textlink="">
          <xdr:nvSpPr>
            <xdr:cNvPr id="7228" name="CheckBox26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1000125</xdr:colOff>
          <xdr:row>31</xdr:row>
          <xdr:rowOff>19050</xdr:rowOff>
        </xdr:from>
        <xdr:to>
          <xdr:col>24</xdr:col>
          <xdr:colOff>0</xdr:colOff>
          <xdr:row>31</xdr:row>
          <xdr:rowOff>180975</xdr:rowOff>
        </xdr:to>
        <xdr:sp macro="" textlink="">
          <xdr:nvSpPr>
            <xdr:cNvPr id="7229" name="CheckBox27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MatLab%20R2017a/toolbox/exlink/excllink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excllink"/>
    </sheetNames>
    <definedNames>
      <definedName name="matlabsub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L153"/>
  <sheetViews>
    <sheetView workbookViewId="0">
      <selection activeCell="L28" sqref="L28"/>
    </sheetView>
  </sheetViews>
  <sheetFormatPr defaultColWidth="11.42578125" defaultRowHeight="15"/>
  <cols>
    <col min="1" max="1" width="6" style="1" bestFit="1" customWidth="1"/>
    <col min="2" max="2" width="8.7109375" style="1" bestFit="1" customWidth="1"/>
    <col min="3" max="3" width="6.140625" style="1" bestFit="1" customWidth="1"/>
    <col min="4" max="4" width="7.140625" style="1" bestFit="1" customWidth="1"/>
    <col min="5" max="5" width="9.5703125" style="1" bestFit="1" customWidth="1"/>
    <col min="6" max="6" width="14.7109375" style="1" bestFit="1" customWidth="1"/>
    <col min="7" max="7" width="6" style="1" bestFit="1" customWidth="1"/>
    <col min="8" max="8" width="8.7109375" style="1" bestFit="1" customWidth="1"/>
    <col min="9" max="9" width="6.140625" style="1" bestFit="1" customWidth="1"/>
    <col min="10" max="10" width="7.140625" style="1" bestFit="1" customWidth="1"/>
    <col min="11" max="11" width="9.5703125" style="1" bestFit="1" customWidth="1"/>
    <col min="12" max="12" width="11.140625" style="1" bestFit="1" customWidth="1"/>
    <col min="13" max="13" width="6" style="1" bestFit="1" customWidth="1"/>
    <col min="14" max="14" width="8.7109375" style="1" bestFit="1" customWidth="1"/>
    <col min="15" max="15" width="6.140625" style="1" bestFit="1" customWidth="1"/>
    <col min="16" max="16" width="7.140625" style="1" bestFit="1" customWidth="1"/>
    <col min="17" max="17" width="6.5703125" style="1" bestFit="1" customWidth="1"/>
    <col min="18" max="18" width="11.140625" style="1" bestFit="1" customWidth="1"/>
    <col min="19" max="19" width="6" style="1" bestFit="1" customWidth="1"/>
    <col min="20" max="20" width="8.7109375" style="1" bestFit="1" customWidth="1"/>
    <col min="21" max="21" width="6.140625" style="1" bestFit="1" customWidth="1"/>
    <col min="22" max="22" width="7.140625" style="1" bestFit="1" customWidth="1"/>
    <col min="23" max="23" width="6.5703125" style="1" bestFit="1" customWidth="1"/>
    <col min="24" max="24" width="8.5703125" bestFit="1" customWidth="1"/>
    <col min="25" max="25" width="6" bestFit="1" customWidth="1"/>
    <col min="26" max="26" width="8.7109375" bestFit="1" customWidth="1"/>
    <col min="27" max="27" width="6.140625" bestFit="1" customWidth="1"/>
    <col min="28" max="28" width="7.140625" bestFit="1" customWidth="1"/>
    <col min="29" max="29" width="5.85546875" bestFit="1" customWidth="1"/>
    <col min="30" max="30" width="8.5703125" bestFit="1" customWidth="1"/>
    <col min="31" max="31" width="6" bestFit="1" customWidth="1"/>
    <col min="32" max="32" width="8.7109375" bestFit="1" customWidth="1"/>
    <col min="33" max="33" width="6.140625" bestFit="1" customWidth="1"/>
    <col min="34" max="34" width="7.140625" bestFit="1" customWidth="1"/>
    <col min="35" max="35" width="5.85546875" bestFit="1" customWidth="1"/>
    <col min="36" max="36" width="8.5703125" bestFit="1" customWidth="1"/>
    <col min="37" max="37" width="6" bestFit="1" customWidth="1"/>
    <col min="38" max="38" width="8.7109375" bestFit="1" customWidth="1"/>
    <col min="39" max="39" width="6.140625" bestFit="1" customWidth="1"/>
    <col min="40" max="40" width="7.140625" bestFit="1" customWidth="1"/>
    <col min="41" max="41" width="5.85546875" bestFit="1" customWidth="1"/>
    <col min="43" max="43" width="21.5703125" customWidth="1"/>
    <col min="45" max="46" width="14" customWidth="1"/>
    <col min="85" max="85" width="23.140625" customWidth="1"/>
  </cols>
  <sheetData>
    <row r="1" spans="1:90" ht="21">
      <c r="A1" s="19" t="s">
        <v>25</v>
      </c>
      <c r="B1" s="19" t="s">
        <v>21</v>
      </c>
      <c r="C1" s="19" t="s">
        <v>22</v>
      </c>
      <c r="D1" s="19" t="s">
        <v>23</v>
      </c>
      <c r="E1" s="19" t="s">
        <v>24</v>
      </c>
      <c r="F1" s="20" t="s">
        <v>53</v>
      </c>
      <c r="G1" s="19" t="s">
        <v>25</v>
      </c>
      <c r="H1" s="19" t="s">
        <v>21</v>
      </c>
      <c r="I1" s="19" t="s">
        <v>22</v>
      </c>
      <c r="J1" s="19" t="s">
        <v>23</v>
      </c>
      <c r="K1" s="19" t="s">
        <v>24</v>
      </c>
      <c r="L1" s="20" t="s">
        <v>54</v>
      </c>
      <c r="M1" s="19" t="s">
        <v>25</v>
      </c>
      <c r="N1" s="19" t="s">
        <v>21</v>
      </c>
      <c r="O1" s="19" t="s">
        <v>22</v>
      </c>
      <c r="P1" s="19" t="s">
        <v>23</v>
      </c>
      <c r="Q1" s="19" t="s">
        <v>24</v>
      </c>
      <c r="R1" s="20" t="s">
        <v>55</v>
      </c>
      <c r="S1" s="19" t="s">
        <v>25</v>
      </c>
      <c r="T1" s="19" t="s">
        <v>21</v>
      </c>
      <c r="U1" s="19" t="s">
        <v>22</v>
      </c>
      <c r="V1" s="19" t="s">
        <v>23</v>
      </c>
      <c r="W1" s="19" t="s">
        <v>24</v>
      </c>
      <c r="X1" s="20" t="str">
        <f>BH1</f>
        <v>User1</v>
      </c>
      <c r="Y1" s="19" t="s">
        <v>25</v>
      </c>
      <c r="Z1" s="19" t="s">
        <v>21</v>
      </c>
      <c r="AA1" s="19" t="s">
        <v>22</v>
      </c>
      <c r="AB1" s="19" t="s">
        <v>23</v>
      </c>
      <c r="AC1" s="19" t="s">
        <v>24</v>
      </c>
      <c r="AD1" s="20" t="str">
        <f>BL1</f>
        <v>User2</v>
      </c>
      <c r="AE1" s="19" t="s">
        <v>25</v>
      </c>
      <c r="AF1" s="19" t="s">
        <v>21</v>
      </c>
      <c r="AG1" s="19" t="s">
        <v>22</v>
      </c>
      <c r="AH1" s="19" t="s">
        <v>23</v>
      </c>
      <c r="AI1" s="19" t="s">
        <v>24</v>
      </c>
      <c r="AJ1" s="20" t="str">
        <f>BP1</f>
        <v>User3</v>
      </c>
      <c r="AK1" s="19" t="s">
        <v>25</v>
      </c>
      <c r="AL1" s="19" t="s">
        <v>21</v>
      </c>
      <c r="AM1" s="19" t="s">
        <v>22</v>
      </c>
      <c r="AN1" s="19" t="s">
        <v>23</v>
      </c>
      <c r="AO1" s="19" t="s">
        <v>24</v>
      </c>
      <c r="AQ1" s="20" t="s">
        <v>135</v>
      </c>
      <c r="AR1" s="27" t="s">
        <v>85</v>
      </c>
      <c r="AV1" s="20" t="s">
        <v>53</v>
      </c>
      <c r="AW1" s="20"/>
      <c r="AX1" s="20"/>
      <c r="AY1" s="20"/>
      <c r="AZ1" s="20" t="s">
        <v>54</v>
      </c>
      <c r="BA1" s="20"/>
      <c r="BB1" s="20"/>
      <c r="BC1" s="20"/>
      <c r="BD1" s="20" t="s">
        <v>55</v>
      </c>
      <c r="BE1" s="20"/>
      <c r="BF1" s="20"/>
      <c r="BG1" s="20"/>
      <c r="BH1" s="20" t="s">
        <v>80</v>
      </c>
      <c r="BI1" s="20"/>
      <c r="BJ1" s="20"/>
      <c r="BK1" s="20"/>
      <c r="BL1" s="20" t="s">
        <v>81</v>
      </c>
      <c r="BM1" s="20"/>
      <c r="BN1" s="20"/>
      <c r="BO1" s="20"/>
      <c r="BP1" s="20" t="s">
        <v>82</v>
      </c>
      <c r="BU1" s="27" t="s">
        <v>101</v>
      </c>
      <c r="BV1" s="27" t="s">
        <v>85</v>
      </c>
      <c r="BY1" s="27" t="s">
        <v>100</v>
      </c>
      <c r="BZ1" s="27"/>
      <c r="CA1" s="27" t="s">
        <v>80</v>
      </c>
      <c r="CB1" s="27"/>
      <c r="CC1" s="33"/>
      <c r="CD1" s="33" t="s">
        <v>104</v>
      </c>
      <c r="CE1" s="32"/>
      <c r="CF1" s="32"/>
      <c r="CG1" s="32"/>
      <c r="CH1" s="33" t="s">
        <v>101</v>
      </c>
      <c r="CI1" s="33" t="s">
        <v>103</v>
      </c>
    </row>
    <row r="2" spans="1:90">
      <c r="A2" s="1">
        <f ca="1">OFFSET(A2,0,6*Dashboard!$Q$3,1,1)</f>
        <v>0</v>
      </c>
      <c r="B2" s="1">
        <f ca="1">OFFSET(B2,0,6*Dashboard!$Q$3,1,1)</f>
        <v>4</v>
      </c>
      <c r="C2" s="1">
        <f ca="1">OFFSET(C2,0,6*Dashboard!$Q$3,1,1)</f>
        <v>1</v>
      </c>
      <c r="D2" s="1">
        <f ca="1">OFFSET(D2,0,6*Dashboard!$Q$3,1,1)</f>
        <v>0</v>
      </c>
      <c r="E2" s="1">
        <f ca="1">OFFSET(E2,0,6*Dashboard!$Q$3,1,1)</f>
        <v>60</v>
      </c>
      <c r="G2" s="1">
        <v>0</v>
      </c>
      <c r="H2" s="1">
        <v>2</v>
      </c>
      <c r="I2" s="1">
        <v>1</v>
      </c>
      <c r="J2" s="1">
        <v>0</v>
      </c>
      <c r="K2" s="1">
        <v>6.1710000000000001E-2</v>
      </c>
      <c r="M2" s="1">
        <v>0</v>
      </c>
      <c r="N2" s="1">
        <v>6</v>
      </c>
      <c r="O2" s="1">
        <v>1</v>
      </c>
      <c r="P2" s="1">
        <v>0</v>
      </c>
      <c r="Q2" s="1">
        <v>64.47</v>
      </c>
      <c r="S2" s="1">
        <v>0</v>
      </c>
      <c r="T2" s="1">
        <v>4</v>
      </c>
      <c r="U2" s="1">
        <v>1</v>
      </c>
      <c r="V2" s="1">
        <v>0</v>
      </c>
      <c r="W2" s="1">
        <v>60</v>
      </c>
      <c r="AQ2" s="21" t="s">
        <v>25</v>
      </c>
      <c r="AR2" s="21" t="s">
        <v>56</v>
      </c>
      <c r="AS2" s="21" t="s">
        <v>84</v>
      </c>
      <c r="AT2" s="21" t="s">
        <v>93</v>
      </c>
      <c r="AU2" s="21" t="s">
        <v>25</v>
      </c>
      <c r="AV2" s="21" t="s">
        <v>56</v>
      </c>
      <c r="AW2" s="21" t="s">
        <v>84</v>
      </c>
      <c r="AX2" s="21" t="s">
        <v>93</v>
      </c>
      <c r="AY2" s="21" t="s">
        <v>25</v>
      </c>
      <c r="AZ2" s="21" t="s">
        <v>56</v>
      </c>
      <c r="BA2" s="21" t="s">
        <v>84</v>
      </c>
      <c r="BB2" s="21" t="s">
        <v>93</v>
      </c>
      <c r="BC2" s="21" t="s">
        <v>25</v>
      </c>
      <c r="BD2" s="21" t="s">
        <v>56</v>
      </c>
      <c r="BE2" s="21" t="s">
        <v>84</v>
      </c>
      <c r="BF2" s="21" t="s">
        <v>93</v>
      </c>
      <c r="BG2" s="21" t="s">
        <v>25</v>
      </c>
      <c r="BH2" s="21" t="s">
        <v>56</v>
      </c>
      <c r="BI2" s="21" t="s">
        <v>84</v>
      </c>
      <c r="BJ2" s="21" t="s">
        <v>93</v>
      </c>
      <c r="BK2" s="21" t="s">
        <v>25</v>
      </c>
      <c r="BL2" s="21" t="s">
        <v>56</v>
      </c>
      <c r="BM2" s="21" t="s">
        <v>84</v>
      </c>
      <c r="BN2" s="21" t="s">
        <v>93</v>
      </c>
      <c r="BO2" s="21" t="s">
        <v>25</v>
      </c>
      <c r="BP2" s="21" t="s">
        <v>56</v>
      </c>
      <c r="BQ2" s="21" t="s">
        <v>84</v>
      </c>
      <c r="BR2" s="21" t="s">
        <v>93</v>
      </c>
      <c r="BT2" s="21" t="s">
        <v>111</v>
      </c>
      <c r="BU2" s="21" t="s">
        <v>25</v>
      </c>
      <c r="BV2" s="21" t="s">
        <v>97</v>
      </c>
      <c r="BW2" s="21" t="s">
        <v>99</v>
      </c>
      <c r="BX2" s="21" t="s">
        <v>25</v>
      </c>
      <c r="BY2" s="21" t="s">
        <v>97</v>
      </c>
      <c r="BZ2" s="21" t="s">
        <v>99</v>
      </c>
      <c r="CA2" s="21" t="s">
        <v>25</v>
      </c>
      <c r="CB2" s="21" t="s">
        <v>97</v>
      </c>
      <c r="CC2" s="34" t="s">
        <v>99</v>
      </c>
      <c r="CD2" s="34" t="s">
        <v>25</v>
      </c>
      <c r="CE2" s="34" t="s">
        <v>97</v>
      </c>
      <c r="CF2" s="34" t="s">
        <v>99</v>
      </c>
      <c r="CG2" s="32"/>
      <c r="CH2" s="35" t="s">
        <v>25</v>
      </c>
      <c r="CI2" s="35" t="s">
        <v>21</v>
      </c>
      <c r="CJ2" s="19" t="s">
        <v>22</v>
      </c>
      <c r="CK2" s="19" t="s">
        <v>23</v>
      </c>
      <c r="CL2" s="19" t="s">
        <v>24</v>
      </c>
    </row>
    <row r="3" spans="1:90">
      <c r="A3" s="1">
        <f ca="1">OFFSET(A3,0,6*Dashboard!$Q$3,1,1)</f>
        <v>0</v>
      </c>
      <c r="B3" s="1">
        <f ca="1">OFFSET(B3,0,6*Dashboard!$Q$3,1,1)</f>
        <v>4</v>
      </c>
      <c r="C3" s="1">
        <f ca="1">OFFSET(C3,0,6*Dashboard!$Q$3,1,1)</f>
        <v>2</v>
      </c>
      <c r="D3" s="1">
        <f ca="1">OFFSET(D3,0,6*Dashboard!$Q$3,1,1)</f>
        <v>0</v>
      </c>
      <c r="E3" s="1">
        <f ca="1">OFFSET(E3,0,6*Dashboard!$Q$3,1,1)</f>
        <v>46</v>
      </c>
      <c r="F3" s="2"/>
      <c r="G3" s="1">
        <v>0</v>
      </c>
      <c r="H3" s="1">
        <v>2</v>
      </c>
      <c r="I3" s="1">
        <v>2</v>
      </c>
      <c r="J3" s="1">
        <v>0</v>
      </c>
      <c r="K3" s="1">
        <v>4.4290000000000003E-2</v>
      </c>
      <c r="M3" s="1">
        <v>0</v>
      </c>
      <c r="N3" s="1">
        <v>6</v>
      </c>
      <c r="O3" s="1">
        <v>2</v>
      </c>
      <c r="P3" s="1">
        <v>0</v>
      </c>
      <c r="Q3" s="1">
        <v>37.299999999999997</v>
      </c>
      <c r="S3" s="1">
        <v>0</v>
      </c>
      <c r="T3" s="1">
        <v>4</v>
      </c>
      <c r="U3" s="1">
        <v>2</v>
      </c>
      <c r="V3" s="1">
        <v>0</v>
      </c>
      <c r="W3" s="1">
        <v>46</v>
      </c>
      <c r="AQ3" s="1">
        <f ca="1">OFFSET(AQ3,0,4*Dashboard!$Q$3,1,1)</f>
        <v>1</v>
      </c>
      <c r="AR3" t="str">
        <f ca="1">OFFSET(AR3,0,4*Dashboard!$Q$3,1,1)</f>
        <v>Acetic acid</v>
      </c>
      <c r="AS3">
        <f ca="1">OFFSET(AS3,0,4*Dashboard!$Q$3,1,1)</f>
        <v>12.34</v>
      </c>
      <c r="AT3">
        <f ca="1">OFFSET(AT3,0,4*Dashboard!$Q$3,1,1)</f>
        <v>0.45</v>
      </c>
      <c r="AU3" s="2">
        <v>1</v>
      </c>
      <c r="AV3" s="3" t="s">
        <v>16</v>
      </c>
      <c r="AW3" s="3">
        <v>0</v>
      </c>
      <c r="AX3" s="3">
        <v>0</v>
      </c>
      <c r="AY3" s="2">
        <v>1</v>
      </c>
      <c r="AZ3" s="17" t="s">
        <v>44</v>
      </c>
      <c r="BA3" s="17">
        <v>0</v>
      </c>
      <c r="BB3" s="3">
        <v>0</v>
      </c>
      <c r="BC3" s="2">
        <v>1</v>
      </c>
      <c r="BD3" s="17" t="s">
        <v>44</v>
      </c>
      <c r="BE3" s="17">
        <v>12.34</v>
      </c>
      <c r="BF3" s="28">
        <v>0.45</v>
      </c>
      <c r="BG3" s="2">
        <v>1</v>
      </c>
      <c r="BK3" s="2">
        <v>1</v>
      </c>
      <c r="BO3" s="2">
        <v>1</v>
      </c>
      <c r="BT3">
        <v>5</v>
      </c>
      <c r="BU3" s="1">
        <f ca="1">IF(OFFSET(BU3,0,3*Dashboard!$Q$16,1,1)=0,"",OFFSET(BU3,0,3*Dashboard!$Q$16,1,1))</f>
        <v>1.1000000000000001</v>
      </c>
      <c r="BV3" s="1" t="str">
        <f ca="1">OFFSET(BV3,0,3*Dashboard!$Q$16,1,1)</f>
        <v>Xylose</v>
      </c>
      <c r="BW3" s="1" t="str">
        <f ca="1">OFFSET(BW3,0,3*Dashboard!$Q$16,1,1)</f>
        <v>Water</v>
      </c>
      <c r="BX3" s="1">
        <v>1.1000000000000001</v>
      </c>
      <c r="BY3" t="s">
        <v>48</v>
      </c>
      <c r="BZ3" t="s">
        <v>51</v>
      </c>
      <c r="CA3" s="1">
        <v>1</v>
      </c>
      <c r="CC3" s="32"/>
      <c r="CD3" s="31">
        <v>1</v>
      </c>
      <c r="CE3" s="32"/>
      <c r="CF3" s="32"/>
      <c r="CG3" s="32" t="s">
        <v>7</v>
      </c>
      <c r="CH3" s="31">
        <v>0</v>
      </c>
      <c r="CI3" s="31">
        <v>4</v>
      </c>
      <c r="CJ3" s="1">
        <v>1</v>
      </c>
      <c r="CK3" s="1">
        <v>0</v>
      </c>
      <c r="CL3" s="1">
        <v>18</v>
      </c>
    </row>
    <row r="4" spans="1:90">
      <c r="A4" s="1">
        <f ca="1">OFFSET(A4,0,6*Dashboard!$Q$3,1,1)</f>
        <v>0</v>
      </c>
      <c r="B4" s="1">
        <f ca="1">OFFSET(B4,0,6*Dashboard!$Q$3,1,1)</f>
        <v>4</v>
      </c>
      <c r="C4" s="1">
        <f ca="1">OFFSET(C4,0,6*Dashboard!$Q$3,1,1)</f>
        <v>3</v>
      </c>
      <c r="D4" s="1">
        <f ca="1">OFFSET(D4,0,6*Dashboard!$Q$3,1,1)</f>
        <v>0</v>
      </c>
      <c r="E4" s="1">
        <f ca="1">OFFSET(E4,0,6*Dashboard!$Q$3,1,1)</f>
        <v>96</v>
      </c>
      <c r="G4" s="1">
        <v>0</v>
      </c>
      <c r="H4" s="1">
        <v>2</v>
      </c>
      <c r="I4" s="1">
        <v>3</v>
      </c>
      <c r="J4" s="1">
        <v>0</v>
      </c>
      <c r="K4" s="1">
        <v>2.171E-2</v>
      </c>
      <c r="M4" s="1">
        <v>0</v>
      </c>
      <c r="N4" s="1">
        <v>6</v>
      </c>
      <c r="O4" s="1">
        <v>3</v>
      </c>
      <c r="P4" s="1">
        <v>0</v>
      </c>
      <c r="Q4" s="1">
        <v>83.22</v>
      </c>
      <c r="S4" s="1">
        <v>0</v>
      </c>
      <c r="T4" s="1">
        <v>4</v>
      </c>
      <c r="U4" s="1">
        <v>3</v>
      </c>
      <c r="V4" s="1">
        <v>0</v>
      </c>
      <c r="W4" s="1">
        <v>96</v>
      </c>
      <c r="AQ4" s="1">
        <f ca="1">OFFSET(AQ4,0,4*Dashboard!$Q$3,1,1)</f>
        <v>2</v>
      </c>
      <c r="AR4" t="str">
        <f ca="1">OFFSET(AR4,0,4*Dashboard!$Q$3,1,1)</f>
        <v>Formic acid</v>
      </c>
      <c r="AS4">
        <f ca="1">OFFSET(AS4,0,4*Dashboard!$Q$3,1,1)</f>
        <v>2.14</v>
      </c>
      <c r="AT4">
        <f ca="1">OFFSET(AT4,0,4*Dashboard!$Q$3,1,1)</f>
        <v>0.5</v>
      </c>
      <c r="AU4" s="2">
        <v>2</v>
      </c>
      <c r="AV4" s="3" t="s">
        <v>17</v>
      </c>
      <c r="AW4" s="3">
        <v>0</v>
      </c>
      <c r="AX4" s="3">
        <v>0</v>
      </c>
      <c r="AY4" s="2">
        <v>2</v>
      </c>
      <c r="AZ4" s="17" t="s">
        <v>45</v>
      </c>
      <c r="BA4" s="17">
        <v>0</v>
      </c>
      <c r="BB4" s="3">
        <v>0</v>
      </c>
      <c r="BC4" s="2">
        <v>2</v>
      </c>
      <c r="BD4" s="17" t="s">
        <v>45</v>
      </c>
      <c r="BE4" s="17">
        <v>2.14</v>
      </c>
      <c r="BF4" s="28">
        <v>0.5</v>
      </c>
      <c r="BG4" s="2">
        <v>2</v>
      </c>
      <c r="BK4" s="2">
        <v>2</v>
      </c>
      <c r="BO4" s="2">
        <v>2</v>
      </c>
      <c r="BT4">
        <v>6</v>
      </c>
      <c r="BU4" s="1">
        <f ca="1">IF(OFFSET(BU4,0,3*Dashboard!$Q$16,1,1)=0,"",OFFSET(BU4,0,3*Dashboard!$Q$16,1,1))</f>
        <v>2.1</v>
      </c>
      <c r="BV4" s="1" t="str">
        <f ca="1">OFFSET(BV4,0,3*Dashboard!$Q$16,1,1)</f>
        <v>Arabinose</v>
      </c>
      <c r="BW4" s="1" t="str">
        <f ca="1">OFFSET(BW4,0,3*Dashboard!$Q$16,1,1)</f>
        <v>Ethanol</v>
      </c>
      <c r="BX4" s="1">
        <v>2.1</v>
      </c>
      <c r="BY4" t="s">
        <v>49</v>
      </c>
      <c r="BZ4" t="s">
        <v>102</v>
      </c>
      <c r="CA4" s="1">
        <v>2</v>
      </c>
      <c r="CC4" s="32"/>
      <c r="CD4" s="31">
        <v>2</v>
      </c>
      <c r="CE4" s="32"/>
      <c r="CF4" s="32"/>
      <c r="CG4" s="32"/>
      <c r="CH4" s="31">
        <v>0</v>
      </c>
      <c r="CI4" s="31">
        <v>4</v>
      </c>
      <c r="CJ4" s="1">
        <v>2</v>
      </c>
      <c r="CK4" s="1">
        <v>0</v>
      </c>
      <c r="CL4" s="1">
        <v>46</v>
      </c>
    </row>
    <row r="5" spans="1:90">
      <c r="A5" s="1">
        <f ca="1">OFFSET(A5,0,6*Dashboard!$Q$3,1,1)</f>
        <v>0</v>
      </c>
      <c r="B5" s="1">
        <f ca="1">OFFSET(B5,0,6*Dashboard!$Q$3,1,1)</f>
        <v>4</v>
      </c>
      <c r="C5" s="1">
        <f ca="1">OFFSET(C5,0,6*Dashboard!$Q$3,1,1)</f>
        <v>4</v>
      </c>
      <c r="D5" s="1">
        <f ca="1">OFFSET(D5,0,6*Dashboard!$Q$3,1,1)</f>
        <v>0</v>
      </c>
      <c r="E5" s="1">
        <f ca="1">OFFSET(E5,0,6*Dashboard!$Q$3,1,1)</f>
        <v>126</v>
      </c>
      <c r="G5" s="1">
        <v>0</v>
      </c>
      <c r="H5" s="1">
        <v>2</v>
      </c>
      <c r="I5" s="1">
        <v>4</v>
      </c>
      <c r="J5" s="1">
        <v>0</v>
      </c>
      <c r="K5" s="1">
        <v>3.1040000000000002E-2</v>
      </c>
      <c r="M5" s="1">
        <v>0</v>
      </c>
      <c r="N5" s="1">
        <v>6</v>
      </c>
      <c r="O5" s="1">
        <v>4</v>
      </c>
      <c r="P5" s="1">
        <v>0</v>
      </c>
      <c r="Q5" s="1">
        <v>101.78</v>
      </c>
      <c r="S5" s="1">
        <v>0</v>
      </c>
      <c r="T5" s="1">
        <v>4</v>
      </c>
      <c r="U5" s="1">
        <v>4</v>
      </c>
      <c r="V5" s="1">
        <v>0</v>
      </c>
      <c r="W5" s="1">
        <v>126</v>
      </c>
      <c r="AQ5" s="1">
        <f ca="1">OFFSET(AQ5,0,4*Dashboard!$Q$3,1,1)</f>
        <v>3</v>
      </c>
      <c r="AR5" t="str">
        <f ca="1">OFFSET(AR5,0,4*Dashboard!$Q$3,1,1)</f>
        <v>Furfural</v>
      </c>
      <c r="AS5">
        <f ca="1">OFFSET(AS5,0,4*Dashboard!$Q$3,1,1)</f>
        <v>4.22</v>
      </c>
      <c r="AT5">
        <f ca="1">OFFSET(AT5,0,4*Dashboard!$Q$3,1,1)</f>
        <v>1.2</v>
      </c>
      <c r="AU5" s="2">
        <v>3</v>
      </c>
      <c r="AV5" s="3" t="s">
        <v>18</v>
      </c>
      <c r="AW5" s="3">
        <v>0</v>
      </c>
      <c r="AX5" s="3">
        <v>0</v>
      </c>
      <c r="AY5" s="2">
        <v>3</v>
      </c>
      <c r="AZ5" s="17" t="s">
        <v>46</v>
      </c>
      <c r="BA5" s="17">
        <v>0</v>
      </c>
      <c r="BB5" s="3">
        <v>0</v>
      </c>
      <c r="BC5" s="2">
        <v>3</v>
      </c>
      <c r="BD5" s="17" t="s">
        <v>46</v>
      </c>
      <c r="BE5" s="17">
        <v>4.22</v>
      </c>
      <c r="BF5" s="28">
        <v>1.2</v>
      </c>
      <c r="BG5" s="2">
        <v>3</v>
      </c>
      <c r="BK5" s="2">
        <v>3</v>
      </c>
      <c r="BO5" s="2">
        <v>3</v>
      </c>
      <c r="BT5">
        <v>7</v>
      </c>
      <c r="BU5" s="1"/>
      <c r="BV5" s="1" t="str">
        <f ca="1">OFFSET(BV5,0,3*Dashboard!$Q$16,1,1)</f>
        <v>Glucose</v>
      </c>
      <c r="BW5" s="1">
        <f ca="1">OFFSET(BW5,0,3*Dashboard!$Q$16,1,1)</f>
        <v>0</v>
      </c>
      <c r="BX5" s="1">
        <v>3.1</v>
      </c>
      <c r="BY5" t="s">
        <v>50</v>
      </c>
      <c r="CA5" s="1">
        <v>3</v>
      </c>
      <c r="CC5" s="32"/>
      <c r="CD5" s="31">
        <v>3</v>
      </c>
      <c r="CE5" s="32"/>
      <c r="CF5" s="32"/>
      <c r="CG5" s="32" t="s">
        <v>1</v>
      </c>
      <c r="CH5" s="31">
        <v>0</v>
      </c>
      <c r="CI5" s="31">
        <v>6</v>
      </c>
      <c r="CJ5" s="1">
        <v>1</v>
      </c>
      <c r="CK5" s="1">
        <v>0</v>
      </c>
      <c r="CL5" s="1">
        <v>18.07</v>
      </c>
    </row>
    <row r="6" spans="1:90">
      <c r="A6" s="1">
        <f ca="1">OFFSET(A6,0,6*Dashboard!$Q$3,1,1)</f>
        <v>0</v>
      </c>
      <c r="B6" s="1">
        <f ca="1">OFFSET(B6,0,6*Dashboard!$Q$3,1,1)</f>
        <v>4</v>
      </c>
      <c r="C6" s="1">
        <f ca="1">OFFSET(C6,0,6*Dashboard!$Q$3,1,1)</f>
        <v>5</v>
      </c>
      <c r="D6" s="1">
        <f ca="1">OFFSET(D6,0,6*Dashboard!$Q$3,1,1)</f>
        <v>0</v>
      </c>
      <c r="E6" s="1">
        <f ca="1">OFFSET(E6,0,6*Dashboard!$Q$3,1,1)</f>
        <v>150</v>
      </c>
      <c r="G6" s="1">
        <v>0</v>
      </c>
      <c r="H6" s="1">
        <v>2</v>
      </c>
      <c r="I6" s="1">
        <v>5</v>
      </c>
      <c r="J6" s="1">
        <v>0</v>
      </c>
      <c r="K6" s="1">
        <v>8.523E-2</v>
      </c>
      <c r="M6" s="1">
        <v>0</v>
      </c>
      <c r="N6" s="1">
        <v>6</v>
      </c>
      <c r="O6" s="1">
        <v>5</v>
      </c>
      <c r="P6" s="1">
        <v>0</v>
      </c>
      <c r="Q6" s="1">
        <v>63.28</v>
      </c>
      <c r="S6" s="1">
        <v>0</v>
      </c>
      <c r="T6" s="1">
        <v>4</v>
      </c>
      <c r="U6" s="1">
        <v>5</v>
      </c>
      <c r="V6" s="1">
        <v>0</v>
      </c>
      <c r="W6" s="1">
        <v>150</v>
      </c>
      <c r="AQ6" s="1">
        <f ca="1">OFFSET(AQ6,0,4*Dashboard!$Q$3,1,1)</f>
        <v>4</v>
      </c>
      <c r="AR6" t="str">
        <f ca="1">OFFSET(AR6,0,4*Dashboard!$Q$3,1,1)</f>
        <v>HMF</v>
      </c>
      <c r="AS6">
        <f ca="1">OFFSET(AS6,0,4*Dashboard!$Q$3,1,1)</f>
        <v>0.63</v>
      </c>
      <c r="AT6">
        <f ca="1">OFFSET(AT6,0,4*Dashboard!$Q$3,1,1)</f>
        <v>10</v>
      </c>
      <c r="AU6" s="2">
        <v>4</v>
      </c>
      <c r="AV6" s="3" t="s">
        <v>19</v>
      </c>
      <c r="AW6" s="3">
        <v>0</v>
      </c>
      <c r="AX6" s="3">
        <v>0</v>
      </c>
      <c r="AY6" s="2">
        <v>4</v>
      </c>
      <c r="AZ6" s="17" t="s">
        <v>47</v>
      </c>
      <c r="BA6" s="17">
        <v>0</v>
      </c>
      <c r="BB6" s="3">
        <v>0</v>
      </c>
      <c r="BC6" s="2">
        <v>4</v>
      </c>
      <c r="BD6" s="17" t="s">
        <v>47</v>
      </c>
      <c r="BE6" s="17">
        <v>0.63</v>
      </c>
      <c r="BF6" s="28">
        <v>10</v>
      </c>
      <c r="BG6" s="2">
        <v>4</v>
      </c>
      <c r="BK6" s="2">
        <v>4</v>
      </c>
      <c r="BO6" s="2">
        <v>4</v>
      </c>
      <c r="BU6" s="1" t="str">
        <f ca="1">IF(OFFSET(BU6,0,3*Dashboard!$Q$16,1,1)=0,"",OFFSET(BU6,0,3*Dashboard!$Q$16,1,1))</f>
        <v/>
      </c>
      <c r="BV6" s="1">
        <f ca="1">OFFSET(BV6,0,3*Dashboard!$Q$16,1,1)</f>
        <v>0</v>
      </c>
      <c r="BW6" s="1">
        <f ca="1">OFFSET(BW6,0,3*Dashboard!$Q$16,1,1)</f>
        <v>0</v>
      </c>
      <c r="BX6" s="1">
        <v>0</v>
      </c>
      <c r="CA6" s="1">
        <v>4</v>
      </c>
      <c r="CC6" s="32"/>
      <c r="CD6" s="31">
        <v>4</v>
      </c>
      <c r="CE6" s="32"/>
      <c r="CF6" s="32"/>
      <c r="CG6" s="32"/>
      <c r="CH6" s="31">
        <v>0</v>
      </c>
      <c r="CI6" s="31">
        <v>6</v>
      </c>
      <c r="CJ6" s="1">
        <v>2</v>
      </c>
      <c r="CK6" s="1">
        <v>0</v>
      </c>
      <c r="CL6" s="1">
        <v>61</v>
      </c>
    </row>
    <row r="7" spans="1:90">
      <c r="A7" s="1">
        <f ca="1">OFFSET(A7,0,6*Dashboard!$Q$3,1,1)</f>
        <v>0</v>
      </c>
      <c r="B7" s="1">
        <f ca="1">OFFSET(B7,0,6*Dashboard!$Q$3,1,1)</f>
        <v>4</v>
      </c>
      <c r="C7" s="1">
        <f ca="1">OFFSET(C7,0,6*Dashboard!$Q$3,1,1)</f>
        <v>6</v>
      </c>
      <c r="D7" s="1">
        <f ca="1">OFFSET(D7,0,6*Dashboard!$Q$3,1,1)</f>
        <v>0</v>
      </c>
      <c r="E7" s="1">
        <f ca="1">OFFSET(E7,0,6*Dashboard!$Q$3,1,1)</f>
        <v>150</v>
      </c>
      <c r="G7" s="1">
        <v>0</v>
      </c>
      <c r="H7" s="1">
        <v>4</v>
      </c>
      <c r="I7" s="1">
        <v>1</v>
      </c>
      <c r="J7" s="1">
        <v>0</v>
      </c>
      <c r="K7" s="1">
        <v>88.15</v>
      </c>
      <c r="M7" s="1">
        <v>0</v>
      </c>
      <c r="N7" s="1">
        <v>6</v>
      </c>
      <c r="O7" s="1">
        <v>6</v>
      </c>
      <c r="P7" s="1">
        <v>0</v>
      </c>
      <c r="Q7" s="1">
        <v>63.27</v>
      </c>
      <c r="S7" s="1">
        <v>0</v>
      </c>
      <c r="T7" s="1">
        <v>4</v>
      </c>
      <c r="U7" s="1">
        <v>6</v>
      </c>
      <c r="V7" s="1">
        <v>0</v>
      </c>
      <c r="W7" s="1">
        <v>150</v>
      </c>
      <c r="AQ7" s="1">
        <f ca="1">OFFSET(AQ7,0,4*Dashboard!$Q$3,1,1)</f>
        <v>5</v>
      </c>
      <c r="AR7" t="str">
        <f ca="1">OFFSET(AR7,0,4*Dashboard!$Q$3,1,1)</f>
        <v>Xylose</v>
      </c>
      <c r="AS7">
        <f ca="1">OFFSET(AS7,0,4*Dashboard!$Q$3,1,1)</f>
        <v>58.2</v>
      </c>
      <c r="AT7">
        <f ca="1">OFFSET(AT7,0,4*Dashboard!$Q$3,1,1)</f>
        <v>3.7</v>
      </c>
      <c r="AU7" s="2">
        <v>5</v>
      </c>
      <c r="AV7" s="3" t="s">
        <v>20</v>
      </c>
      <c r="AW7" s="3">
        <v>0</v>
      </c>
      <c r="AX7" s="3">
        <v>0</v>
      </c>
      <c r="AY7" s="2">
        <v>5</v>
      </c>
      <c r="AZ7" s="17" t="s">
        <v>48</v>
      </c>
      <c r="BA7" s="17">
        <v>0</v>
      </c>
      <c r="BB7" s="3">
        <v>0</v>
      </c>
      <c r="BC7" s="2">
        <v>5</v>
      </c>
      <c r="BD7" s="17" t="s">
        <v>48</v>
      </c>
      <c r="BE7" s="17">
        <v>58.2</v>
      </c>
      <c r="BF7" s="28">
        <v>3.7</v>
      </c>
      <c r="BG7" s="2">
        <v>5</v>
      </c>
      <c r="BK7" s="2">
        <v>5</v>
      </c>
      <c r="BO7" s="2">
        <v>5</v>
      </c>
      <c r="BS7" s="21" t="s">
        <v>105</v>
      </c>
      <c r="BT7" s="1">
        <f>PRODUCT(BT3:BT6)</f>
        <v>210</v>
      </c>
      <c r="CC7" s="32"/>
      <c r="CD7" s="32"/>
      <c r="CE7" s="32"/>
      <c r="CF7" s="32"/>
      <c r="CG7" s="32" t="s">
        <v>15</v>
      </c>
      <c r="CH7" s="31">
        <v>0</v>
      </c>
      <c r="CI7" s="31">
        <v>9</v>
      </c>
      <c r="CJ7" s="1">
        <v>1</v>
      </c>
      <c r="CK7" s="1">
        <v>0</v>
      </c>
      <c r="CL7" s="1">
        <v>647</v>
      </c>
    </row>
    <row r="8" spans="1:90">
      <c r="A8" s="1">
        <f ca="1">OFFSET(A8,0,6*Dashboard!$Q$3,1,1)</f>
        <v>0</v>
      </c>
      <c r="B8" s="1">
        <f ca="1">OFFSET(B8,0,6*Dashboard!$Q$3,1,1)</f>
        <v>4</v>
      </c>
      <c r="C8" s="1">
        <f ca="1">OFFSET(C8,0,6*Dashboard!$Q$3,1,1)</f>
        <v>7</v>
      </c>
      <c r="D8" s="1">
        <f ca="1">OFFSET(D8,0,6*Dashboard!$Q$3,1,1)</f>
        <v>0</v>
      </c>
      <c r="E8" s="1">
        <f ca="1">OFFSET(E8,0,6*Dashboard!$Q$3,1,1)</f>
        <v>180</v>
      </c>
      <c r="G8" s="1">
        <v>0</v>
      </c>
      <c r="H8" s="1">
        <v>4</v>
      </c>
      <c r="I8" s="1">
        <v>2</v>
      </c>
      <c r="J8" s="1">
        <v>0</v>
      </c>
      <c r="K8" s="1">
        <v>56.107999999999997</v>
      </c>
      <c r="M8" s="1">
        <v>0</v>
      </c>
      <c r="N8" s="1">
        <v>6</v>
      </c>
      <c r="O8" s="1">
        <v>7</v>
      </c>
      <c r="P8" s="1">
        <v>0</v>
      </c>
      <c r="Q8" s="1">
        <v>75.540000000000006</v>
      </c>
      <c r="S8" s="1">
        <v>0</v>
      </c>
      <c r="T8" s="1">
        <v>4</v>
      </c>
      <c r="U8" s="1">
        <v>7</v>
      </c>
      <c r="V8" s="1">
        <v>0</v>
      </c>
      <c r="W8" s="1">
        <v>180</v>
      </c>
      <c r="AQ8" s="1">
        <f ca="1">OFFSET(AQ8,0,4*Dashboard!$Q$3,1,1)</f>
        <v>6</v>
      </c>
      <c r="AR8" t="str">
        <f ca="1">OFFSET(AR8,0,4*Dashboard!$Q$3,1,1)</f>
        <v>Arabinose</v>
      </c>
      <c r="AS8">
        <f ca="1">OFFSET(AS8,0,4*Dashboard!$Q$3,1,1)</f>
        <v>8.4600000000000009</v>
      </c>
      <c r="AT8">
        <f ca="1">OFFSET(AT8,0,4*Dashboard!$Q$3,1,1)</f>
        <v>27.5</v>
      </c>
      <c r="AU8" s="2">
        <v>6</v>
      </c>
      <c r="AV8" s="3"/>
      <c r="AW8" s="3">
        <v>0</v>
      </c>
      <c r="AX8" s="3">
        <v>0</v>
      </c>
      <c r="AY8" s="2">
        <v>6</v>
      </c>
      <c r="AZ8" s="17" t="s">
        <v>49</v>
      </c>
      <c r="BA8" s="17">
        <v>0</v>
      </c>
      <c r="BB8" s="3">
        <v>0</v>
      </c>
      <c r="BC8" s="2">
        <v>6</v>
      </c>
      <c r="BD8" s="17" t="s">
        <v>49</v>
      </c>
      <c r="BE8" s="17">
        <v>8.4600000000000009</v>
      </c>
      <c r="BF8" s="28">
        <v>27.5</v>
      </c>
      <c r="BG8" s="2">
        <v>6</v>
      </c>
      <c r="BK8" s="2">
        <v>6</v>
      </c>
      <c r="BO8" s="2">
        <v>6</v>
      </c>
      <c r="BU8" s="1"/>
      <c r="CC8" s="32"/>
      <c r="CD8" s="32"/>
      <c r="CE8" s="32"/>
      <c r="CF8" s="32"/>
      <c r="CG8" s="32"/>
      <c r="CH8" s="31">
        <v>0</v>
      </c>
      <c r="CI8" s="31">
        <v>9</v>
      </c>
      <c r="CJ8" s="1">
        <v>2</v>
      </c>
      <c r="CK8" s="1">
        <v>0</v>
      </c>
      <c r="CL8" s="1">
        <v>513</v>
      </c>
    </row>
    <row r="9" spans="1:90">
      <c r="A9" s="1">
        <f ca="1">OFFSET(A9,0,6*Dashboard!$Q$3,1,1)</f>
        <v>0</v>
      </c>
      <c r="B9" s="1">
        <f ca="1">OFFSET(B9,0,6*Dashboard!$Q$3,1,1)</f>
        <v>4</v>
      </c>
      <c r="C9" s="1">
        <f ca="1">OFFSET(C9,0,6*Dashboard!$Q$3,1,1)</f>
        <v>8</v>
      </c>
      <c r="D9" s="1">
        <f ca="1">OFFSET(D9,0,6*Dashboard!$Q$3,1,1)</f>
        <v>0</v>
      </c>
      <c r="E9" s="1">
        <f ca="1">OFFSET(E9,0,6*Dashboard!$Q$3,1,1)</f>
        <v>18</v>
      </c>
      <c r="G9" s="1">
        <v>0</v>
      </c>
      <c r="H9" s="1">
        <v>4</v>
      </c>
      <c r="I9" s="1">
        <v>3</v>
      </c>
      <c r="J9" s="1">
        <v>0</v>
      </c>
      <c r="K9" s="1">
        <v>32.042000000000002</v>
      </c>
      <c r="M9" s="1">
        <v>0</v>
      </c>
      <c r="N9" s="1">
        <v>9</v>
      </c>
      <c r="O9" s="1">
        <v>1</v>
      </c>
      <c r="P9" s="1">
        <v>0</v>
      </c>
      <c r="Q9" s="1">
        <v>620.77</v>
      </c>
      <c r="S9" s="1">
        <v>0</v>
      </c>
      <c r="T9" s="1">
        <v>4</v>
      </c>
      <c r="U9" s="1">
        <v>8</v>
      </c>
      <c r="V9" s="1">
        <v>0</v>
      </c>
      <c r="W9" s="1">
        <v>18</v>
      </c>
      <c r="AQ9" s="1">
        <f ca="1">OFFSET(AQ9,0,4*Dashboard!$Q$3,1,1)</f>
        <v>7</v>
      </c>
      <c r="AR9" t="str">
        <f ca="1">OFFSET(AR9,0,4*Dashboard!$Q$3,1,1)</f>
        <v>Glucose</v>
      </c>
      <c r="AS9">
        <f ca="1">OFFSET(AS9,0,4*Dashboard!$Q$3,1,1)</f>
        <v>14.03</v>
      </c>
      <c r="AT9">
        <f ca="1">OFFSET(AT9,0,4*Dashboard!$Q$3,1,1)</f>
        <v>0.5</v>
      </c>
      <c r="AU9" s="2">
        <v>7</v>
      </c>
      <c r="AW9" s="3">
        <v>0</v>
      </c>
      <c r="AX9" s="3">
        <v>0</v>
      </c>
      <c r="AY9" s="2">
        <v>7</v>
      </c>
      <c r="AZ9" s="17" t="s">
        <v>50</v>
      </c>
      <c r="BA9" s="17">
        <v>0</v>
      </c>
      <c r="BB9" s="3">
        <v>0</v>
      </c>
      <c r="BC9" s="2">
        <v>7</v>
      </c>
      <c r="BD9" s="17" t="s">
        <v>50</v>
      </c>
      <c r="BE9" s="17">
        <v>14.03</v>
      </c>
      <c r="BF9" s="28">
        <v>0.5</v>
      </c>
      <c r="BG9" s="2">
        <v>7</v>
      </c>
      <c r="BK9" s="2">
        <v>7</v>
      </c>
      <c r="BO9" s="2">
        <v>7</v>
      </c>
      <c r="BU9" s="1"/>
      <c r="CC9" s="32"/>
      <c r="CD9" s="32"/>
      <c r="CE9" s="32"/>
      <c r="CF9" s="32"/>
      <c r="CG9" s="32" t="s">
        <v>14</v>
      </c>
      <c r="CH9" s="31">
        <v>0</v>
      </c>
      <c r="CI9" s="31">
        <v>10</v>
      </c>
      <c r="CJ9" s="1">
        <v>1</v>
      </c>
      <c r="CK9" s="1">
        <v>0</v>
      </c>
      <c r="CL9" s="1">
        <v>217</v>
      </c>
    </row>
    <row r="10" spans="1:90">
      <c r="A10" s="1">
        <f ca="1">OFFSET(A10,0,6*Dashboard!$Q$3,1,1)</f>
        <v>0</v>
      </c>
      <c r="B10" s="1">
        <f ca="1">OFFSET(B10,0,6*Dashboard!$Q$3,1,1)</f>
        <v>6</v>
      </c>
      <c r="C10" s="1">
        <f ca="1">OFFSET(C10,0,6*Dashboard!$Q$3,1,1)</f>
        <v>1</v>
      </c>
      <c r="D10" s="1">
        <f ca="1">OFFSET(D10,0,6*Dashboard!$Q$3,1,1)</f>
        <v>0</v>
      </c>
      <c r="E10" s="1">
        <f ca="1">OFFSET(E10,0,6*Dashboard!$Q$3,1,1)</f>
        <v>64.47</v>
      </c>
      <c r="G10" s="1">
        <v>0</v>
      </c>
      <c r="H10" s="1">
        <v>4</v>
      </c>
      <c r="I10" s="1">
        <v>4</v>
      </c>
      <c r="J10" s="1">
        <v>0</v>
      </c>
      <c r="K10" s="1">
        <v>46.069000000000003</v>
      </c>
      <c r="M10" s="1">
        <v>0</v>
      </c>
      <c r="N10" s="1">
        <v>9</v>
      </c>
      <c r="O10" s="1">
        <v>2</v>
      </c>
      <c r="P10" s="1">
        <v>0</v>
      </c>
      <c r="Q10" s="1">
        <v>561.24</v>
      </c>
      <c r="S10" s="1">
        <v>0</v>
      </c>
      <c r="T10" s="1">
        <v>6</v>
      </c>
      <c r="U10" s="1">
        <v>1</v>
      </c>
      <c r="V10" s="1">
        <v>0</v>
      </c>
      <c r="W10" s="1">
        <v>64.47</v>
      </c>
      <c r="Y10" s="1"/>
      <c r="AQ10" s="1">
        <f ca="1">OFFSET(AQ10,0,4*Dashboard!$Q$3,1,1)</f>
        <v>8</v>
      </c>
      <c r="AR10" t="str">
        <f ca="1">OFFSET(AR10,0,4*Dashboard!$Q$3,1,1)</f>
        <v>Water</v>
      </c>
      <c r="AS10">
        <f ca="1">OFFSET(AS10,0,4*Dashboard!$Q$3,1,1)</f>
        <v>900</v>
      </c>
      <c r="AT10">
        <f ca="1">OFFSET(AT10,0,4*Dashboard!$Q$3,1,1)</f>
        <v>2.8E-3</v>
      </c>
      <c r="AU10" s="2">
        <v>8</v>
      </c>
      <c r="AW10" s="3">
        <v>0</v>
      </c>
      <c r="AX10" s="3">
        <v>0</v>
      </c>
      <c r="AY10" s="2">
        <v>8</v>
      </c>
      <c r="BA10" s="17">
        <v>0</v>
      </c>
      <c r="BB10" s="3">
        <v>0</v>
      </c>
      <c r="BC10" s="2">
        <v>8</v>
      </c>
      <c r="BD10" s="17" t="s">
        <v>51</v>
      </c>
      <c r="BE10" s="17">
        <v>900</v>
      </c>
      <c r="BF10" s="28">
        <v>2.8E-3</v>
      </c>
      <c r="BG10" s="2">
        <v>8</v>
      </c>
      <c r="BK10" s="2">
        <v>8</v>
      </c>
      <c r="BO10" s="2">
        <v>8</v>
      </c>
      <c r="BU10" s="1"/>
      <c r="CC10" s="32"/>
      <c r="CD10" s="32"/>
      <c r="CE10" s="32"/>
      <c r="CF10" s="32"/>
      <c r="CG10" s="32"/>
      <c r="CH10" s="31">
        <v>0</v>
      </c>
      <c r="CI10" s="31">
        <v>10</v>
      </c>
      <c r="CJ10" s="1">
        <v>2</v>
      </c>
      <c r="CK10" s="1">
        <v>0</v>
      </c>
      <c r="CL10" s="1">
        <v>60.6</v>
      </c>
    </row>
    <row r="11" spans="1:90">
      <c r="A11" s="1">
        <f ca="1">OFFSET(A11,0,6*Dashboard!$Q$3,1,1)</f>
        <v>0</v>
      </c>
      <c r="B11" s="1">
        <f ca="1">OFFSET(B11,0,6*Dashboard!$Q$3,1,1)</f>
        <v>6</v>
      </c>
      <c r="C11" s="1">
        <f ca="1">OFFSET(C11,0,6*Dashboard!$Q$3,1,1)</f>
        <v>2</v>
      </c>
      <c r="D11" s="1">
        <f ca="1">OFFSET(D11,0,6*Dashboard!$Q$3,1,1)</f>
        <v>0</v>
      </c>
      <c r="E11" s="1">
        <f ca="1">OFFSET(E11,0,6*Dashboard!$Q$3,1,1)</f>
        <v>37.299999999999997</v>
      </c>
      <c r="G11" s="1">
        <v>0</v>
      </c>
      <c r="H11" s="1">
        <v>4</v>
      </c>
      <c r="I11" s="1">
        <v>5</v>
      </c>
      <c r="J11" s="1">
        <v>0</v>
      </c>
      <c r="K11" s="1">
        <v>112.215</v>
      </c>
      <c r="M11" s="1">
        <v>0</v>
      </c>
      <c r="N11" s="1">
        <v>9</v>
      </c>
      <c r="O11" s="1">
        <v>3</v>
      </c>
      <c r="P11" s="1">
        <v>0</v>
      </c>
      <c r="Q11" s="1">
        <v>670.63</v>
      </c>
      <c r="S11" s="1">
        <v>0</v>
      </c>
      <c r="T11" s="1">
        <v>6</v>
      </c>
      <c r="U11" s="1">
        <v>2</v>
      </c>
      <c r="V11" s="1">
        <v>0</v>
      </c>
      <c r="W11" s="1">
        <v>37.299999999999997</v>
      </c>
      <c r="Y11" s="1"/>
      <c r="AR11" s="21" t="s">
        <v>86</v>
      </c>
      <c r="AS11">
        <f ca="1">OFFSET(AS11,0,4*Dashboard!$Q$3,1,1)</f>
        <v>30000000</v>
      </c>
      <c r="AW11" s="3">
        <v>0</v>
      </c>
      <c r="AX11" s="3"/>
      <c r="BA11" s="17">
        <v>0</v>
      </c>
      <c r="BB11" s="17"/>
      <c r="BE11">
        <f>30*1000000</f>
        <v>30000000</v>
      </c>
      <c r="CC11" s="32"/>
      <c r="CD11" s="32"/>
      <c r="CE11" s="32"/>
      <c r="CF11" s="32"/>
      <c r="CG11" s="32" t="s">
        <v>9</v>
      </c>
      <c r="CH11" s="31">
        <v>0</v>
      </c>
      <c r="CI11" s="31">
        <v>11</v>
      </c>
      <c r="CJ11" s="1">
        <v>1</v>
      </c>
      <c r="CK11" s="1">
        <v>0</v>
      </c>
      <c r="CL11" s="2">
        <v>273</v>
      </c>
    </row>
    <row r="12" spans="1:90">
      <c r="A12" s="1">
        <f ca="1">OFFSET(A12,0,6*Dashboard!$Q$3,1,1)</f>
        <v>0</v>
      </c>
      <c r="B12" s="1">
        <f ca="1">OFFSET(B12,0,6*Dashboard!$Q$3,1,1)</f>
        <v>6</v>
      </c>
      <c r="C12" s="1">
        <f ca="1">OFFSET(C12,0,6*Dashboard!$Q$3,1,1)</f>
        <v>3</v>
      </c>
      <c r="D12" s="1">
        <f ca="1">OFFSET(D12,0,6*Dashboard!$Q$3,1,1)</f>
        <v>0</v>
      </c>
      <c r="E12" s="1">
        <f ca="1">OFFSET(E12,0,6*Dashboard!$Q$3,1,1)</f>
        <v>83.22</v>
      </c>
      <c r="G12" s="1">
        <v>0</v>
      </c>
      <c r="H12" s="1">
        <v>5</v>
      </c>
      <c r="I12" s="1">
        <v>1</v>
      </c>
      <c r="J12" s="1">
        <v>0</v>
      </c>
      <c r="K12" s="1">
        <v>2.431</v>
      </c>
      <c r="M12" s="1">
        <v>0</v>
      </c>
      <c r="N12" s="1">
        <v>9</v>
      </c>
      <c r="O12" s="1">
        <v>4</v>
      </c>
      <c r="P12" s="1">
        <v>0</v>
      </c>
      <c r="Q12" s="1">
        <v>729.31</v>
      </c>
      <c r="S12" s="1">
        <v>0</v>
      </c>
      <c r="T12" s="1">
        <v>6</v>
      </c>
      <c r="U12" s="1">
        <v>3</v>
      </c>
      <c r="V12" s="1">
        <v>0</v>
      </c>
      <c r="W12" s="1">
        <v>83.22</v>
      </c>
      <c r="CC12" s="32"/>
      <c r="CD12" s="32"/>
      <c r="CE12" s="32"/>
      <c r="CF12" s="32"/>
      <c r="CG12" s="32"/>
      <c r="CH12" s="31">
        <v>0</v>
      </c>
      <c r="CI12" s="31">
        <v>11</v>
      </c>
      <c r="CJ12" s="1">
        <v>2</v>
      </c>
      <c r="CK12" s="1">
        <v>0</v>
      </c>
      <c r="CL12" s="2">
        <v>159</v>
      </c>
    </row>
    <row r="13" spans="1:90">
      <c r="A13" s="1">
        <f ca="1">OFFSET(A13,0,6*Dashboard!$Q$3,1,1)</f>
        <v>0</v>
      </c>
      <c r="B13" s="1">
        <f ca="1">OFFSET(B13,0,6*Dashboard!$Q$3,1,1)</f>
        <v>6</v>
      </c>
      <c r="C13" s="1">
        <f ca="1">OFFSET(C13,0,6*Dashboard!$Q$3,1,1)</f>
        <v>4</v>
      </c>
      <c r="D13" s="1">
        <f ca="1">OFFSET(D13,0,6*Dashboard!$Q$3,1,1)</f>
        <v>0</v>
      </c>
      <c r="E13" s="1">
        <f ca="1">OFFSET(E13,0,6*Dashboard!$Q$3,1,1)</f>
        <v>101.78</v>
      </c>
      <c r="G13" s="1">
        <v>0</v>
      </c>
      <c r="H13" s="1">
        <v>5</v>
      </c>
      <c r="I13" s="1">
        <v>2</v>
      </c>
      <c r="J13" s="1">
        <v>0</v>
      </c>
      <c r="K13" s="1">
        <v>2.875</v>
      </c>
      <c r="M13" s="1">
        <v>0</v>
      </c>
      <c r="N13" s="1">
        <v>9</v>
      </c>
      <c r="O13" s="1">
        <v>5</v>
      </c>
      <c r="P13" s="1">
        <v>0</v>
      </c>
      <c r="Q13" s="1">
        <v>786.13</v>
      </c>
      <c r="S13" s="1">
        <v>0</v>
      </c>
      <c r="T13" s="1">
        <v>6</v>
      </c>
      <c r="U13" s="1">
        <v>4</v>
      </c>
      <c r="V13" s="1">
        <v>0</v>
      </c>
      <c r="W13" s="1">
        <v>101.78</v>
      </c>
      <c r="CC13" s="32"/>
      <c r="CD13" s="32"/>
      <c r="CE13" s="32"/>
      <c r="CF13" s="32"/>
      <c r="CG13" s="32" t="s">
        <v>11</v>
      </c>
      <c r="CH13" s="31">
        <v>0</v>
      </c>
      <c r="CI13" s="31">
        <v>15</v>
      </c>
      <c r="CJ13" s="1">
        <v>1</v>
      </c>
      <c r="CK13" s="1">
        <v>0</v>
      </c>
      <c r="CL13" s="2">
        <v>373</v>
      </c>
    </row>
    <row r="14" spans="1:90">
      <c r="A14" s="1">
        <f ca="1">OFFSET(A14,0,6*Dashboard!$Q$3,1,1)</f>
        <v>0</v>
      </c>
      <c r="B14" s="1">
        <f ca="1">OFFSET(B14,0,6*Dashboard!$Q$3,1,1)</f>
        <v>6</v>
      </c>
      <c r="C14" s="1">
        <f ca="1">OFFSET(C14,0,6*Dashboard!$Q$3,1,1)</f>
        <v>5</v>
      </c>
      <c r="D14" s="1">
        <f ca="1">OFFSET(D14,0,6*Dashboard!$Q$3,1,1)</f>
        <v>0</v>
      </c>
      <c r="E14" s="1">
        <f ca="1">OFFSET(E14,0,6*Dashboard!$Q$3,1,1)</f>
        <v>63.28</v>
      </c>
      <c r="G14" s="1">
        <v>0</v>
      </c>
      <c r="H14" s="1">
        <v>5</v>
      </c>
      <c r="I14" s="1">
        <v>3</v>
      </c>
      <c r="J14" s="1">
        <v>0</v>
      </c>
      <c r="K14" s="1">
        <v>1.552</v>
      </c>
      <c r="M14" s="1">
        <v>0</v>
      </c>
      <c r="N14" s="1">
        <v>9</v>
      </c>
      <c r="O14" s="1">
        <v>6</v>
      </c>
      <c r="P14" s="1">
        <v>0</v>
      </c>
      <c r="Q14" s="1">
        <v>786.12</v>
      </c>
      <c r="S14" s="1">
        <v>0</v>
      </c>
      <c r="T14" s="1">
        <v>6</v>
      </c>
      <c r="U14" s="1">
        <v>5</v>
      </c>
      <c r="V14" s="1">
        <v>0</v>
      </c>
      <c r="W14" s="1">
        <v>63.28</v>
      </c>
      <c r="CC14" s="32"/>
      <c r="CD14" s="32"/>
      <c r="CE14" s="32"/>
      <c r="CF14" s="32"/>
      <c r="CG14" s="32"/>
      <c r="CH14" s="31">
        <v>0</v>
      </c>
      <c r="CI14" s="31">
        <v>15</v>
      </c>
      <c r="CJ14" s="1">
        <v>2</v>
      </c>
      <c r="CK14" s="1">
        <v>0</v>
      </c>
      <c r="CL14" s="2">
        <v>351</v>
      </c>
    </row>
    <row r="15" spans="1:90">
      <c r="A15" s="1">
        <f ca="1">OFFSET(A15,0,6*Dashboard!$Q$3,1,1)</f>
        <v>0</v>
      </c>
      <c r="B15" s="1">
        <f ca="1">OFFSET(B15,0,6*Dashboard!$Q$3,1,1)</f>
        <v>6</v>
      </c>
      <c r="C15" s="1">
        <f ca="1">OFFSET(C15,0,6*Dashboard!$Q$3,1,1)</f>
        <v>6</v>
      </c>
      <c r="D15" s="1">
        <f ca="1">OFFSET(D15,0,6*Dashboard!$Q$3,1,1)</f>
        <v>0</v>
      </c>
      <c r="E15" s="1">
        <f ca="1">OFFSET(E15,0,6*Dashboard!$Q$3,1,1)</f>
        <v>63.27</v>
      </c>
      <c r="G15" s="1">
        <v>0</v>
      </c>
      <c r="H15" s="1">
        <v>5</v>
      </c>
      <c r="I15" s="1">
        <v>4</v>
      </c>
      <c r="J15" s="1">
        <v>0</v>
      </c>
      <c r="K15" s="1">
        <v>2.1539999999999999</v>
      </c>
      <c r="M15" s="1">
        <v>0</v>
      </c>
      <c r="N15" s="1">
        <v>9</v>
      </c>
      <c r="O15" s="1">
        <v>7</v>
      </c>
      <c r="P15" s="1">
        <v>0</v>
      </c>
      <c r="Q15" s="1">
        <v>820.82</v>
      </c>
      <c r="S15" s="1">
        <v>0</v>
      </c>
      <c r="T15" s="1">
        <v>6</v>
      </c>
      <c r="U15" s="1">
        <v>6</v>
      </c>
      <c r="V15" s="1">
        <v>0</v>
      </c>
      <c r="W15" s="1">
        <v>63.27</v>
      </c>
      <c r="CC15" s="32"/>
      <c r="CD15" s="32"/>
      <c r="CE15" s="32"/>
      <c r="CF15" s="32"/>
      <c r="CG15" s="32" t="s">
        <v>12</v>
      </c>
      <c r="CH15" s="31">
        <v>0</v>
      </c>
      <c r="CI15" s="31">
        <v>16</v>
      </c>
      <c r="CJ15" s="1">
        <v>1</v>
      </c>
      <c r="CK15" s="1">
        <v>0</v>
      </c>
      <c r="CL15" s="2">
        <v>3.1699999999999999E-2</v>
      </c>
    </row>
    <row r="16" spans="1:90">
      <c r="A16" s="1">
        <f ca="1">OFFSET(A16,0,6*Dashboard!$Q$3,1,1)</f>
        <v>0</v>
      </c>
      <c r="B16" s="1">
        <f ca="1">OFFSET(B16,0,6*Dashboard!$Q$3,1,1)</f>
        <v>6</v>
      </c>
      <c r="C16" s="1">
        <f ca="1">OFFSET(C16,0,6*Dashboard!$Q$3,1,1)</f>
        <v>7</v>
      </c>
      <c r="D16" s="1">
        <f ca="1">OFFSET(D16,0,6*Dashboard!$Q$3,1,1)</f>
        <v>0</v>
      </c>
      <c r="E16" s="1">
        <f ca="1">OFFSET(E16,0,6*Dashboard!$Q$3,1,1)</f>
        <v>75.540000000000006</v>
      </c>
      <c r="G16" s="1">
        <v>0</v>
      </c>
      <c r="H16" s="1">
        <v>5</v>
      </c>
      <c r="I16" s="1">
        <v>5</v>
      </c>
      <c r="J16" s="1">
        <v>0</v>
      </c>
      <c r="K16" s="1">
        <v>4.4569999999999999</v>
      </c>
      <c r="M16" s="1">
        <v>0</v>
      </c>
      <c r="N16" s="1">
        <v>10</v>
      </c>
      <c r="O16" s="1">
        <v>1</v>
      </c>
      <c r="P16" s="1">
        <v>0</v>
      </c>
      <c r="Q16" s="1">
        <v>54.28</v>
      </c>
      <c r="S16" s="1">
        <v>0</v>
      </c>
      <c r="T16" s="1">
        <v>6</v>
      </c>
      <c r="U16" s="1">
        <v>7</v>
      </c>
      <c r="V16" s="1">
        <v>0</v>
      </c>
      <c r="W16" s="1">
        <v>75.540000000000006</v>
      </c>
      <c r="CC16" s="32"/>
      <c r="CD16" s="32"/>
      <c r="CE16" s="32"/>
      <c r="CF16" s="32"/>
      <c r="CG16" s="32"/>
      <c r="CH16" s="31">
        <v>0</v>
      </c>
      <c r="CI16" s="31">
        <v>16</v>
      </c>
      <c r="CJ16" s="1">
        <v>2</v>
      </c>
      <c r="CK16" s="1">
        <v>0</v>
      </c>
      <c r="CL16" s="2">
        <v>8.6999999999999994E-2</v>
      </c>
    </row>
    <row r="17" spans="1:90">
      <c r="A17" s="1">
        <f ca="1">OFFSET(A17,0,6*Dashboard!$Q$3,1,1)</f>
        <v>0</v>
      </c>
      <c r="B17" s="1">
        <f ca="1">OFFSET(B17,0,6*Dashboard!$Q$3,1,1)</f>
        <v>6</v>
      </c>
      <c r="C17" s="1">
        <f ca="1">OFFSET(C17,0,6*Dashboard!$Q$3,1,1)</f>
        <v>8</v>
      </c>
      <c r="D17" s="1">
        <f ca="1">OFFSET(D17,0,6*Dashboard!$Q$3,1,1)</f>
        <v>0</v>
      </c>
      <c r="E17" s="1">
        <f ca="1">OFFSET(E17,0,6*Dashboard!$Q$3,1,1)</f>
        <v>18.07</v>
      </c>
      <c r="G17" s="1">
        <v>0</v>
      </c>
      <c r="H17" s="1">
        <v>6</v>
      </c>
      <c r="I17" s="1">
        <v>1</v>
      </c>
      <c r="J17" s="1">
        <v>0</v>
      </c>
      <c r="K17" s="1">
        <v>0.11988699999999999</v>
      </c>
      <c r="M17" s="1">
        <v>0</v>
      </c>
      <c r="N17" s="1">
        <v>10</v>
      </c>
      <c r="O17" s="1">
        <v>2</v>
      </c>
      <c r="P17" s="1">
        <v>0</v>
      </c>
      <c r="Q17" s="1">
        <v>75</v>
      </c>
      <c r="S17" s="1">
        <v>0</v>
      </c>
      <c r="T17" s="1">
        <v>6</v>
      </c>
      <c r="U17" s="1">
        <v>8</v>
      </c>
      <c r="V17" s="1">
        <v>0</v>
      </c>
      <c r="W17" s="1">
        <v>18.07</v>
      </c>
      <c r="CC17" s="32"/>
      <c r="CD17" s="32"/>
      <c r="CE17" s="32"/>
      <c r="CF17" s="32"/>
      <c r="CG17" s="32" t="s">
        <v>4</v>
      </c>
      <c r="CH17" s="31">
        <v>0</v>
      </c>
      <c r="CI17" s="31">
        <v>22</v>
      </c>
      <c r="CJ17" s="1">
        <v>1</v>
      </c>
      <c r="CK17" s="1">
        <v>0</v>
      </c>
      <c r="CL17" s="1">
        <v>47.81</v>
      </c>
    </row>
    <row r="18" spans="1:90">
      <c r="A18" s="1">
        <f ca="1">OFFSET(A18,0,6*Dashboard!$Q$3,1,1)</f>
        <v>0</v>
      </c>
      <c r="B18" s="1">
        <f ca="1">OFFSET(B18,0,6*Dashboard!$Q$3,1,1)</f>
        <v>9</v>
      </c>
      <c r="C18" s="1">
        <f ca="1">OFFSET(C18,0,6*Dashboard!$Q$3,1,1)</f>
        <v>1</v>
      </c>
      <c r="D18" s="1">
        <f ca="1">OFFSET(D18,0,6*Dashboard!$Q$3,1,1)</f>
        <v>0</v>
      </c>
      <c r="E18" s="1">
        <f ca="1">OFFSET(E18,0,6*Dashboard!$Q$3,1,1)</f>
        <v>620.77</v>
      </c>
      <c r="G18" s="1">
        <v>0</v>
      </c>
      <c r="H18" s="1">
        <v>6</v>
      </c>
      <c r="I18" s="1">
        <v>2</v>
      </c>
      <c r="J18" s="1">
        <v>0</v>
      </c>
      <c r="K18" s="1">
        <v>9.5372700000000005E-2</v>
      </c>
      <c r="M18" s="1">
        <v>0</v>
      </c>
      <c r="N18" s="1">
        <v>10</v>
      </c>
      <c r="O18" s="1">
        <v>3</v>
      </c>
      <c r="P18" s="1">
        <v>0</v>
      </c>
      <c r="Q18" s="1">
        <v>56.6</v>
      </c>
      <c r="S18" s="1">
        <v>0</v>
      </c>
      <c r="T18" s="1">
        <v>9</v>
      </c>
      <c r="U18" s="1">
        <v>1</v>
      </c>
      <c r="V18" s="1">
        <v>0</v>
      </c>
      <c r="W18" s="1">
        <v>620.77</v>
      </c>
      <c r="CC18" s="32"/>
      <c r="CD18" s="32"/>
      <c r="CE18" s="32"/>
      <c r="CF18" s="32"/>
      <c r="CG18" s="32"/>
      <c r="CH18" s="31">
        <v>0</v>
      </c>
      <c r="CI18" s="31">
        <v>22</v>
      </c>
      <c r="CJ18" s="1">
        <v>2</v>
      </c>
      <c r="CK18" s="1">
        <v>0</v>
      </c>
      <c r="CL18" s="1">
        <v>26.1</v>
      </c>
    </row>
    <row r="19" spans="1:90">
      <c r="A19" s="1">
        <f ca="1">OFFSET(A19,0,6*Dashboard!$Q$3,1,1)</f>
        <v>0</v>
      </c>
      <c r="B19" s="1">
        <f ca="1">OFFSET(B19,0,6*Dashboard!$Q$3,1,1)</f>
        <v>9</v>
      </c>
      <c r="C19" s="1">
        <f ca="1">OFFSET(C19,0,6*Dashboard!$Q$3,1,1)</f>
        <v>2</v>
      </c>
      <c r="D19" s="1">
        <f ca="1">OFFSET(D19,0,6*Dashboard!$Q$3,1,1)</f>
        <v>0</v>
      </c>
      <c r="E19" s="1">
        <f ca="1">OFFSET(E19,0,6*Dashboard!$Q$3,1,1)</f>
        <v>561.24</v>
      </c>
      <c r="G19" s="1">
        <v>0</v>
      </c>
      <c r="H19" s="1">
        <v>6</v>
      </c>
      <c r="I19" s="1">
        <v>3</v>
      </c>
      <c r="J19" s="1">
        <v>0</v>
      </c>
      <c r="K19" s="1">
        <v>4.0580999999999999E-2</v>
      </c>
      <c r="M19" s="1">
        <v>0</v>
      </c>
      <c r="N19" s="1">
        <v>10</v>
      </c>
      <c r="O19" s="1">
        <v>4</v>
      </c>
      <c r="P19" s="1">
        <v>0</v>
      </c>
      <c r="Q19" s="1">
        <v>53.65</v>
      </c>
      <c r="S19" s="1">
        <v>0</v>
      </c>
      <c r="T19" s="1">
        <v>9</v>
      </c>
      <c r="U19" s="1">
        <v>2</v>
      </c>
      <c r="V19" s="1">
        <v>0</v>
      </c>
      <c r="W19" s="1">
        <v>561.24</v>
      </c>
      <c r="CC19" s="32"/>
      <c r="CD19" s="32"/>
      <c r="CE19" s="32"/>
      <c r="CF19" s="32"/>
      <c r="CG19" s="32" t="s">
        <v>77</v>
      </c>
      <c r="CH19" s="31">
        <v>0</v>
      </c>
      <c r="CI19" s="31">
        <v>23</v>
      </c>
      <c r="CJ19" s="1">
        <v>1</v>
      </c>
      <c r="CK19" s="1">
        <v>0</v>
      </c>
      <c r="CL19" s="1">
        <v>1.33</v>
      </c>
    </row>
    <row r="20" spans="1:90">
      <c r="A20" s="1">
        <f ca="1">OFFSET(A20,0,6*Dashboard!$Q$3,1,1)</f>
        <v>0</v>
      </c>
      <c r="B20" s="1">
        <f ca="1">OFFSET(B20,0,6*Dashboard!$Q$3,1,1)</f>
        <v>9</v>
      </c>
      <c r="C20" s="1">
        <f ca="1">OFFSET(C20,0,6*Dashboard!$Q$3,1,1)</f>
        <v>3</v>
      </c>
      <c r="D20" s="1">
        <f ca="1">OFFSET(D20,0,6*Dashboard!$Q$3,1,1)</f>
        <v>0</v>
      </c>
      <c r="E20" s="1">
        <f ca="1">OFFSET(E20,0,6*Dashboard!$Q$3,1,1)</f>
        <v>670.63</v>
      </c>
      <c r="G20" s="1">
        <v>0</v>
      </c>
      <c r="H20" s="1">
        <v>6</v>
      </c>
      <c r="I20" s="1">
        <v>4</v>
      </c>
      <c r="J20" s="1">
        <v>0</v>
      </c>
      <c r="K20" s="1">
        <v>7.0231399999999999E-2</v>
      </c>
      <c r="M20" s="1">
        <v>0</v>
      </c>
      <c r="N20" s="1">
        <v>10</v>
      </c>
      <c r="O20" s="1">
        <v>5</v>
      </c>
      <c r="P20" s="1">
        <v>0</v>
      </c>
      <c r="Q20" s="1">
        <v>57.12</v>
      </c>
      <c r="S20" s="1">
        <v>0</v>
      </c>
      <c r="T20" s="1">
        <v>9</v>
      </c>
      <c r="U20" s="1">
        <v>3</v>
      </c>
      <c r="V20" s="1">
        <v>0</v>
      </c>
      <c r="W20" s="1">
        <v>670.63</v>
      </c>
      <c r="CC20" s="32"/>
      <c r="CD20" s="32"/>
      <c r="CE20" s="32"/>
      <c r="CF20" s="32"/>
      <c r="CG20" s="32"/>
      <c r="CH20" s="31">
        <v>0</v>
      </c>
      <c r="CI20" s="31">
        <v>23</v>
      </c>
      <c r="CJ20" s="1">
        <v>2</v>
      </c>
      <c r="CK20" s="1">
        <v>0</v>
      </c>
      <c r="CL20" s="1">
        <v>1.35</v>
      </c>
    </row>
    <row r="21" spans="1:90">
      <c r="A21" s="1">
        <f ca="1">OFFSET(A21,0,6*Dashboard!$Q$3,1,1)</f>
        <v>0</v>
      </c>
      <c r="B21" s="1">
        <f ca="1">OFFSET(B21,0,6*Dashboard!$Q$3,1,1)</f>
        <v>9</v>
      </c>
      <c r="C21" s="1">
        <f ca="1">OFFSET(C21,0,6*Dashboard!$Q$3,1,1)</f>
        <v>4</v>
      </c>
      <c r="D21" s="1">
        <f ca="1">OFFSET(D21,0,6*Dashboard!$Q$3,1,1)</f>
        <v>0</v>
      </c>
      <c r="E21" s="1">
        <f ca="1">OFFSET(E21,0,6*Dashboard!$Q$3,1,1)</f>
        <v>729.31</v>
      </c>
      <c r="G21" s="1">
        <v>0</v>
      </c>
      <c r="H21" s="1">
        <v>6</v>
      </c>
      <c r="I21" s="1">
        <v>5</v>
      </c>
      <c r="J21" s="1">
        <v>0</v>
      </c>
      <c r="K21" s="1">
        <v>0.158001</v>
      </c>
      <c r="M21" s="1">
        <v>0</v>
      </c>
      <c r="N21" s="1">
        <v>10</v>
      </c>
      <c r="O21" s="1">
        <v>6</v>
      </c>
      <c r="P21" s="1">
        <v>0</v>
      </c>
      <c r="Q21" s="1">
        <v>57.11</v>
      </c>
      <c r="S21" s="1">
        <v>0</v>
      </c>
      <c r="T21" s="1">
        <v>9</v>
      </c>
      <c r="U21" s="1">
        <v>4</v>
      </c>
      <c r="V21" s="1">
        <v>0</v>
      </c>
      <c r="W21" s="1">
        <v>729.31</v>
      </c>
      <c r="CC21" s="32"/>
      <c r="CD21" s="32"/>
      <c r="CE21" s="32"/>
      <c r="CF21" s="32"/>
      <c r="CG21" s="32" t="s">
        <v>6</v>
      </c>
      <c r="CH21" s="31">
        <v>0</v>
      </c>
      <c r="CI21" s="31">
        <v>24</v>
      </c>
      <c r="CJ21" s="1">
        <v>1</v>
      </c>
      <c r="CK21" s="1">
        <v>0</v>
      </c>
      <c r="CL21" s="1">
        <v>72.86</v>
      </c>
    </row>
    <row r="22" spans="1:90">
      <c r="A22" s="1">
        <f ca="1">OFFSET(A22,0,6*Dashboard!$Q$3,1,1)</f>
        <v>0</v>
      </c>
      <c r="B22" s="1">
        <f ca="1">OFFSET(B22,0,6*Dashboard!$Q$3,1,1)</f>
        <v>9</v>
      </c>
      <c r="C22" s="1">
        <f ca="1">OFFSET(C22,0,6*Dashboard!$Q$3,1,1)</f>
        <v>5</v>
      </c>
      <c r="D22" s="1">
        <f ca="1">OFFSET(D22,0,6*Dashboard!$Q$3,1,1)</f>
        <v>0</v>
      </c>
      <c r="E22" s="1">
        <f ca="1">OFFSET(E22,0,6*Dashboard!$Q$3,1,1)</f>
        <v>786.13</v>
      </c>
      <c r="G22" s="1">
        <v>0</v>
      </c>
      <c r="H22" s="1">
        <v>8</v>
      </c>
      <c r="I22" s="1">
        <v>1</v>
      </c>
      <c r="J22" s="1">
        <v>0</v>
      </c>
      <c r="K22" s="1">
        <v>1.3609</v>
      </c>
      <c r="M22" s="1">
        <v>0</v>
      </c>
      <c r="N22" s="1">
        <v>10</v>
      </c>
      <c r="O22" s="1">
        <v>7</v>
      </c>
      <c r="P22" s="1">
        <v>0</v>
      </c>
      <c r="Q22" s="1">
        <v>55.28</v>
      </c>
      <c r="S22" s="1">
        <v>0</v>
      </c>
      <c r="T22" s="1">
        <v>9</v>
      </c>
      <c r="U22" s="1">
        <v>5</v>
      </c>
      <c r="V22" s="1">
        <v>0</v>
      </c>
      <c r="W22" s="1">
        <v>786.13</v>
      </c>
      <c r="CC22" s="32"/>
      <c r="CD22" s="32"/>
      <c r="CE22" s="32"/>
      <c r="CF22" s="32"/>
      <c r="CG22" s="32"/>
      <c r="CH22" s="31">
        <v>0</v>
      </c>
      <c r="CI22" s="31">
        <v>24</v>
      </c>
      <c r="CJ22" s="1">
        <v>2</v>
      </c>
      <c r="CK22" s="1">
        <v>0</v>
      </c>
      <c r="CL22" s="1">
        <v>26.61</v>
      </c>
    </row>
    <row r="23" spans="1:90">
      <c r="A23" s="1">
        <f ca="1">OFFSET(A23,0,6*Dashboard!$Q$3,1,1)</f>
        <v>0</v>
      </c>
      <c r="B23" s="1">
        <f ca="1">OFFSET(B23,0,6*Dashboard!$Q$3,1,1)</f>
        <v>9</v>
      </c>
      <c r="C23" s="1">
        <f ca="1">OFFSET(C23,0,6*Dashboard!$Q$3,1,1)</f>
        <v>6</v>
      </c>
      <c r="D23" s="1">
        <f ca="1">OFFSET(D23,0,6*Dashboard!$Q$3,1,1)</f>
        <v>0</v>
      </c>
      <c r="E23" s="1">
        <f ca="1">OFFSET(E23,0,6*Dashboard!$Q$3,1,1)</f>
        <v>786.12</v>
      </c>
      <c r="G23" s="1">
        <v>0</v>
      </c>
      <c r="H23" s="1">
        <v>8</v>
      </c>
      <c r="I23" s="1">
        <v>2</v>
      </c>
      <c r="J23" s="1">
        <v>0</v>
      </c>
      <c r="K23" s="1">
        <v>0.50060000000000004</v>
      </c>
      <c r="M23" s="1">
        <v>0</v>
      </c>
      <c r="N23" s="1">
        <v>11</v>
      </c>
      <c r="O23" s="1">
        <v>1</v>
      </c>
      <c r="P23" s="1">
        <v>0</v>
      </c>
      <c r="Q23" s="1">
        <v>295.99</v>
      </c>
      <c r="S23" s="1">
        <v>0</v>
      </c>
      <c r="T23" s="1">
        <v>9</v>
      </c>
      <c r="U23" s="1">
        <v>6</v>
      </c>
      <c r="V23" s="1">
        <v>0</v>
      </c>
      <c r="W23" s="1">
        <v>786.12</v>
      </c>
      <c r="CC23" s="32"/>
      <c r="CD23" s="32"/>
      <c r="CE23" s="32"/>
      <c r="CF23" s="32"/>
      <c r="CG23" s="32"/>
      <c r="CH23" s="31">
        <v>0</v>
      </c>
      <c r="CI23" s="31">
        <v>0</v>
      </c>
      <c r="CJ23" s="31">
        <v>0</v>
      </c>
      <c r="CK23" s="31">
        <v>0</v>
      </c>
      <c r="CL23" s="31">
        <v>0</v>
      </c>
    </row>
    <row r="24" spans="1:90">
      <c r="A24" s="1">
        <f ca="1">OFFSET(A24,0,6*Dashboard!$Q$3,1,1)</f>
        <v>0</v>
      </c>
      <c r="B24" s="1">
        <f ca="1">OFFSET(B24,0,6*Dashboard!$Q$3,1,1)</f>
        <v>9</v>
      </c>
      <c r="C24" s="1">
        <f ca="1">OFFSET(C24,0,6*Dashboard!$Q$3,1,1)</f>
        <v>7</v>
      </c>
      <c r="D24" s="1">
        <f ca="1">OFFSET(D24,0,6*Dashboard!$Q$3,1,1)</f>
        <v>0</v>
      </c>
      <c r="E24" s="1">
        <f ca="1">OFFSET(E24,0,6*Dashboard!$Q$3,1,1)</f>
        <v>820.82</v>
      </c>
      <c r="G24" s="1">
        <v>0</v>
      </c>
      <c r="H24" s="1">
        <v>8</v>
      </c>
      <c r="I24" s="1">
        <v>3</v>
      </c>
      <c r="J24" s="1">
        <v>0</v>
      </c>
      <c r="K24" s="1">
        <v>1.6996</v>
      </c>
      <c r="M24" s="1">
        <v>0</v>
      </c>
      <c r="N24" s="1">
        <v>11</v>
      </c>
      <c r="O24" s="1">
        <v>2</v>
      </c>
      <c r="P24" s="1">
        <v>0</v>
      </c>
      <c r="Q24" s="1">
        <v>263.31</v>
      </c>
      <c r="S24" s="1">
        <v>0</v>
      </c>
      <c r="T24" s="1">
        <v>9</v>
      </c>
      <c r="U24" s="1">
        <v>7</v>
      </c>
      <c r="V24" s="1">
        <v>0</v>
      </c>
      <c r="W24" s="1">
        <v>820.82</v>
      </c>
      <c r="CC24" s="32"/>
      <c r="CD24" s="32"/>
      <c r="CE24" s="32"/>
      <c r="CF24" s="32"/>
      <c r="CG24" s="32"/>
      <c r="CH24" s="31">
        <v>0</v>
      </c>
      <c r="CI24" s="31">
        <v>0</v>
      </c>
      <c r="CJ24" s="31">
        <v>0</v>
      </c>
      <c r="CK24" s="31">
        <v>0</v>
      </c>
      <c r="CL24" s="31">
        <v>0</v>
      </c>
    </row>
    <row r="25" spans="1:90">
      <c r="A25" s="1">
        <f ca="1">OFFSET(A25,0,6*Dashboard!$Q$3,1,1)</f>
        <v>0</v>
      </c>
      <c r="B25" s="1">
        <f ca="1">OFFSET(B25,0,6*Dashboard!$Q$3,1,1)</f>
        <v>9</v>
      </c>
      <c r="C25" s="1">
        <f ca="1">OFFSET(C25,0,6*Dashboard!$Q$3,1,1)</f>
        <v>8</v>
      </c>
      <c r="D25" s="1">
        <f ca="1">OFFSET(D25,0,6*Dashboard!$Q$3,1,1)</f>
        <v>0</v>
      </c>
      <c r="E25" s="1">
        <f ca="1">OFFSET(E25,0,6*Dashboard!$Q$3,1,1)</f>
        <v>647</v>
      </c>
      <c r="G25" s="1">
        <v>0</v>
      </c>
      <c r="H25" s="1">
        <v>8</v>
      </c>
      <c r="I25" s="1">
        <v>4</v>
      </c>
      <c r="J25" s="1">
        <v>0</v>
      </c>
      <c r="K25" s="1">
        <v>1.3009999999999999</v>
      </c>
      <c r="M25" s="1">
        <v>0</v>
      </c>
      <c r="N25" s="1">
        <v>11</v>
      </c>
      <c r="O25" s="1">
        <v>3</v>
      </c>
      <c r="P25" s="1">
        <v>0</v>
      </c>
      <c r="Q25" s="1">
        <v>250.05</v>
      </c>
      <c r="S25" s="1">
        <v>0</v>
      </c>
      <c r="T25" s="1">
        <v>9</v>
      </c>
      <c r="U25" s="1">
        <v>8</v>
      </c>
      <c r="V25" s="1">
        <v>0</v>
      </c>
      <c r="W25" s="1">
        <v>647</v>
      </c>
      <c r="CC25" s="32"/>
      <c r="CD25" s="32"/>
      <c r="CE25" s="32"/>
      <c r="CF25" s="32"/>
      <c r="CG25" s="32"/>
      <c r="CH25" s="31">
        <v>0</v>
      </c>
      <c r="CI25" s="31">
        <v>0</v>
      </c>
      <c r="CJ25" s="31">
        <v>0</v>
      </c>
      <c r="CK25" s="31">
        <v>0</v>
      </c>
      <c r="CL25" s="31">
        <v>0</v>
      </c>
    </row>
    <row r="26" spans="1:90">
      <c r="A26" s="1">
        <f ca="1">OFFSET(A26,0,6*Dashboard!$Q$3,1,1)</f>
        <v>0</v>
      </c>
      <c r="B26" s="1">
        <f ca="1">OFFSET(B26,0,6*Dashboard!$Q$3,1,1)</f>
        <v>10</v>
      </c>
      <c r="C26" s="1">
        <f ca="1">OFFSET(C26,0,6*Dashboard!$Q$3,1,1)</f>
        <v>1</v>
      </c>
      <c r="D26" s="1">
        <f ca="1">OFFSET(D26,0,6*Dashboard!$Q$3,1,1)</f>
        <v>0</v>
      </c>
      <c r="E26" s="1">
        <f ca="1">OFFSET(E26,0,6*Dashboard!$Q$3,1,1)</f>
        <v>54.28</v>
      </c>
      <c r="G26" s="1">
        <v>0</v>
      </c>
      <c r="H26" s="1">
        <v>8</v>
      </c>
      <c r="I26" s="1">
        <v>5</v>
      </c>
      <c r="J26" s="1">
        <v>0</v>
      </c>
      <c r="K26" s="1">
        <v>0.3387</v>
      </c>
      <c r="M26" s="1">
        <v>0</v>
      </c>
      <c r="N26" s="1">
        <v>11</v>
      </c>
      <c r="O26" s="1">
        <v>4</v>
      </c>
      <c r="P26" s="1">
        <v>0</v>
      </c>
      <c r="Q26" s="1">
        <v>300.64</v>
      </c>
      <c r="S26" s="1">
        <v>0</v>
      </c>
      <c r="T26" s="1">
        <v>10</v>
      </c>
      <c r="U26" s="1">
        <v>1</v>
      </c>
      <c r="V26" s="1">
        <v>0</v>
      </c>
      <c r="W26" s="1">
        <v>54.28</v>
      </c>
      <c r="CC26" s="32"/>
      <c r="CD26" s="32"/>
      <c r="CE26" s="32"/>
      <c r="CF26" s="32"/>
      <c r="CG26" s="32"/>
      <c r="CH26" s="31">
        <v>0</v>
      </c>
      <c r="CI26" s="31">
        <v>0</v>
      </c>
      <c r="CJ26" s="31">
        <v>0</v>
      </c>
      <c r="CK26" s="31">
        <v>0</v>
      </c>
      <c r="CL26" s="31">
        <v>0</v>
      </c>
    </row>
    <row r="27" spans="1:90">
      <c r="A27" s="1">
        <f ca="1">OFFSET(A27,0,6*Dashboard!$Q$3,1,1)</f>
        <v>0</v>
      </c>
      <c r="B27" s="1">
        <f ca="1">OFFSET(B27,0,6*Dashboard!$Q$3,1,1)</f>
        <v>10</v>
      </c>
      <c r="C27" s="1">
        <f ca="1">OFFSET(C27,0,6*Dashboard!$Q$3,1,1)</f>
        <v>2</v>
      </c>
      <c r="D27" s="1">
        <f ca="1">OFFSET(D27,0,6*Dashboard!$Q$3,1,1)</f>
        <v>0</v>
      </c>
      <c r="E27" s="1">
        <f ca="1">OFFSET(E27,0,6*Dashboard!$Q$3,1,1)</f>
        <v>75</v>
      </c>
      <c r="G27" s="1">
        <v>0</v>
      </c>
      <c r="H27" s="1">
        <v>9</v>
      </c>
      <c r="I27" s="1">
        <v>1</v>
      </c>
      <c r="J27" s="1">
        <v>0</v>
      </c>
      <c r="K27" s="1">
        <v>497.1</v>
      </c>
      <c r="M27" s="1">
        <v>0</v>
      </c>
      <c r="N27" s="1">
        <v>11</v>
      </c>
      <c r="O27" s="1">
        <v>5</v>
      </c>
      <c r="P27" s="1">
        <v>0</v>
      </c>
      <c r="Q27" s="1">
        <v>400.9</v>
      </c>
      <c r="S27" s="1">
        <v>0</v>
      </c>
      <c r="T27" s="1">
        <v>10</v>
      </c>
      <c r="U27" s="1">
        <v>2</v>
      </c>
      <c r="V27" s="1">
        <v>0</v>
      </c>
      <c r="W27" s="1">
        <v>75</v>
      </c>
      <c r="CC27" s="32"/>
      <c r="CD27" s="32"/>
      <c r="CE27" s="32"/>
      <c r="CF27" s="32"/>
      <c r="CG27" s="32"/>
      <c r="CH27" s="31">
        <v>0</v>
      </c>
      <c r="CI27" s="31">
        <v>0</v>
      </c>
      <c r="CJ27" s="31">
        <v>0</v>
      </c>
      <c r="CK27" s="31">
        <v>0</v>
      </c>
      <c r="CL27" s="31">
        <v>0</v>
      </c>
    </row>
    <row r="28" spans="1:90">
      <c r="A28" s="1">
        <f ca="1">OFFSET(A28,0,6*Dashboard!$Q$3,1,1)</f>
        <v>0</v>
      </c>
      <c r="B28" s="1">
        <f ca="1">OFFSET(B28,0,6*Dashboard!$Q$3,1,1)</f>
        <v>10</v>
      </c>
      <c r="C28" s="1">
        <f ca="1">OFFSET(C28,0,6*Dashboard!$Q$3,1,1)</f>
        <v>3</v>
      </c>
      <c r="D28" s="1">
        <f ca="1">OFFSET(D28,0,6*Dashboard!$Q$3,1,1)</f>
        <v>0</v>
      </c>
      <c r="E28" s="1">
        <f ca="1">OFFSET(E28,0,6*Dashboard!$Q$3,1,1)</f>
        <v>56.6</v>
      </c>
      <c r="G28" s="1">
        <v>0</v>
      </c>
      <c r="H28" s="1">
        <v>9</v>
      </c>
      <c r="I28" s="1">
        <v>2</v>
      </c>
      <c r="J28" s="1">
        <v>0</v>
      </c>
      <c r="K28" s="1">
        <v>417.9</v>
      </c>
      <c r="M28" s="1">
        <v>0</v>
      </c>
      <c r="N28" s="1">
        <v>11</v>
      </c>
      <c r="O28" s="1">
        <v>6</v>
      </c>
      <c r="P28" s="1">
        <v>0</v>
      </c>
      <c r="Q28" s="1">
        <v>400.89</v>
      </c>
      <c r="S28" s="1">
        <v>0</v>
      </c>
      <c r="T28" s="1">
        <v>10</v>
      </c>
      <c r="U28" s="1">
        <v>3</v>
      </c>
      <c r="V28" s="1">
        <v>0</v>
      </c>
      <c r="W28" s="1">
        <v>56.6</v>
      </c>
      <c r="CC28" s="32"/>
      <c r="CD28" s="32"/>
      <c r="CE28" s="32"/>
      <c r="CF28" s="32"/>
      <c r="CG28" s="32"/>
      <c r="CH28" s="31">
        <v>0</v>
      </c>
      <c r="CI28" s="31">
        <v>0</v>
      </c>
      <c r="CJ28" s="31">
        <v>0</v>
      </c>
      <c r="CK28" s="31">
        <v>0</v>
      </c>
      <c r="CL28" s="31">
        <v>0</v>
      </c>
    </row>
    <row r="29" spans="1:90">
      <c r="A29" s="1">
        <f ca="1">OFFSET(A29,0,6*Dashboard!$Q$3,1,1)</f>
        <v>0</v>
      </c>
      <c r="B29" s="1">
        <f ca="1">OFFSET(B29,0,6*Dashboard!$Q$3,1,1)</f>
        <v>10</v>
      </c>
      <c r="C29" s="1">
        <f ca="1">OFFSET(C29,0,6*Dashboard!$Q$3,1,1)</f>
        <v>4</v>
      </c>
      <c r="D29" s="1">
        <f ca="1">OFFSET(D29,0,6*Dashboard!$Q$3,1,1)</f>
        <v>0</v>
      </c>
      <c r="E29" s="1">
        <f ca="1">OFFSET(E29,0,6*Dashboard!$Q$3,1,1)</f>
        <v>53.65</v>
      </c>
      <c r="G29" s="1">
        <v>0</v>
      </c>
      <c r="H29" s="1">
        <v>9</v>
      </c>
      <c r="I29" s="1">
        <v>3</v>
      </c>
      <c r="J29" s="1">
        <v>0</v>
      </c>
      <c r="K29" s="1">
        <v>512.64</v>
      </c>
      <c r="M29" s="1">
        <v>0</v>
      </c>
      <c r="N29" s="1">
        <v>11</v>
      </c>
      <c r="O29" s="1">
        <v>7</v>
      </c>
      <c r="P29" s="1">
        <v>0</v>
      </c>
      <c r="Q29" s="1">
        <v>425.69</v>
      </c>
      <c r="S29" s="1">
        <v>0</v>
      </c>
      <c r="T29" s="1">
        <v>10</v>
      </c>
      <c r="U29" s="1">
        <v>4</v>
      </c>
      <c r="V29" s="1">
        <v>0</v>
      </c>
      <c r="W29" s="1">
        <v>53.65</v>
      </c>
      <c r="CC29" s="32"/>
      <c r="CD29" s="32"/>
      <c r="CE29" s="32"/>
      <c r="CF29" s="32"/>
      <c r="CG29" s="32"/>
      <c r="CH29" s="31">
        <v>0</v>
      </c>
      <c r="CI29" s="31">
        <v>0</v>
      </c>
      <c r="CJ29" s="31">
        <v>0</v>
      </c>
      <c r="CK29" s="31">
        <v>0</v>
      </c>
      <c r="CL29" s="31">
        <v>0</v>
      </c>
    </row>
    <row r="30" spans="1:90">
      <c r="A30" s="1">
        <f ca="1">OFFSET(A30,0,6*Dashboard!$Q$3,1,1)</f>
        <v>0</v>
      </c>
      <c r="B30" s="1">
        <f ca="1">OFFSET(B30,0,6*Dashboard!$Q$3,1,1)</f>
        <v>10</v>
      </c>
      <c r="C30" s="1">
        <f ca="1">OFFSET(C30,0,6*Dashboard!$Q$3,1,1)</f>
        <v>5</v>
      </c>
      <c r="D30" s="1">
        <f ca="1">OFFSET(D30,0,6*Dashboard!$Q$3,1,1)</f>
        <v>0</v>
      </c>
      <c r="E30" s="1">
        <f ca="1">OFFSET(E30,0,6*Dashboard!$Q$3,1,1)</f>
        <v>57.12</v>
      </c>
      <c r="G30" s="1">
        <v>0</v>
      </c>
      <c r="H30" s="1">
        <v>9</v>
      </c>
      <c r="I30" s="1">
        <v>4</v>
      </c>
      <c r="J30" s="1">
        <v>0</v>
      </c>
      <c r="K30" s="1">
        <v>400.1</v>
      </c>
      <c r="M30" s="1">
        <v>0</v>
      </c>
      <c r="N30" s="1">
        <v>15</v>
      </c>
      <c r="O30" s="1">
        <v>1</v>
      </c>
      <c r="P30" s="1">
        <v>0</v>
      </c>
      <c r="Q30" s="1">
        <v>388.65</v>
      </c>
      <c r="S30" s="1">
        <v>0</v>
      </c>
      <c r="T30" s="1">
        <v>10</v>
      </c>
      <c r="U30" s="1">
        <v>5</v>
      </c>
      <c r="V30" s="1">
        <v>0</v>
      </c>
      <c r="W30" s="1">
        <v>57.12</v>
      </c>
      <c r="CC30" s="32"/>
      <c r="CD30" s="32"/>
      <c r="CE30" s="32"/>
      <c r="CF30" s="32"/>
      <c r="CG30" s="32"/>
      <c r="CH30" s="31">
        <v>0</v>
      </c>
      <c r="CI30" s="31">
        <v>0</v>
      </c>
      <c r="CJ30" s="31">
        <v>0</v>
      </c>
      <c r="CK30" s="31">
        <v>0</v>
      </c>
      <c r="CL30" s="31">
        <v>0</v>
      </c>
    </row>
    <row r="31" spans="1:90">
      <c r="A31" s="1">
        <f ca="1">OFFSET(A31,0,6*Dashboard!$Q$3,1,1)</f>
        <v>0</v>
      </c>
      <c r="B31" s="1">
        <f ca="1">OFFSET(B31,0,6*Dashboard!$Q$3,1,1)</f>
        <v>10</v>
      </c>
      <c r="C31" s="1">
        <f ca="1">OFFSET(C31,0,6*Dashboard!$Q$3,1,1)</f>
        <v>6</v>
      </c>
      <c r="D31" s="1">
        <f ca="1">OFFSET(D31,0,6*Dashboard!$Q$3,1,1)</f>
        <v>0</v>
      </c>
      <c r="E31" s="1">
        <f ca="1">OFFSET(E31,0,6*Dashboard!$Q$3,1,1)</f>
        <v>57.11</v>
      </c>
      <c r="G31" s="1">
        <v>0</v>
      </c>
      <c r="H31" s="1">
        <v>9</v>
      </c>
      <c r="I31" s="1">
        <v>5</v>
      </c>
      <c r="J31" s="1">
        <v>0</v>
      </c>
      <c r="K31" s="1">
        <v>566.65</v>
      </c>
      <c r="M31" s="1">
        <v>0</v>
      </c>
      <c r="N31" s="1">
        <v>15</v>
      </c>
      <c r="O31" s="1">
        <v>2</v>
      </c>
      <c r="P31" s="1">
        <v>0</v>
      </c>
      <c r="Q31" s="1">
        <v>356.93</v>
      </c>
      <c r="S31" s="1">
        <v>0</v>
      </c>
      <c r="T31" s="1">
        <v>10</v>
      </c>
      <c r="U31" s="1">
        <v>6</v>
      </c>
      <c r="V31" s="1">
        <v>0</v>
      </c>
      <c r="W31" s="1">
        <v>57.11</v>
      </c>
      <c r="CC31" s="32"/>
      <c r="CD31" s="32"/>
      <c r="CE31" s="32"/>
      <c r="CF31" s="32"/>
      <c r="CG31" s="32"/>
      <c r="CH31" s="31">
        <v>0</v>
      </c>
      <c r="CI31" s="31">
        <v>0</v>
      </c>
      <c r="CJ31" s="31">
        <v>0</v>
      </c>
      <c r="CK31" s="31">
        <v>0</v>
      </c>
      <c r="CL31" s="31">
        <v>0</v>
      </c>
    </row>
    <row r="32" spans="1:90">
      <c r="A32" s="1">
        <f ca="1">OFFSET(A32,0,6*Dashboard!$Q$3,1,1)</f>
        <v>0</v>
      </c>
      <c r="B32" s="1">
        <f ca="1">OFFSET(B32,0,6*Dashboard!$Q$3,1,1)</f>
        <v>10</v>
      </c>
      <c r="C32" s="1">
        <f ca="1">OFFSET(C32,0,6*Dashboard!$Q$3,1,1)</f>
        <v>7</v>
      </c>
      <c r="D32" s="1">
        <f ca="1">OFFSET(D32,0,6*Dashboard!$Q$3,1,1)</f>
        <v>0</v>
      </c>
      <c r="E32" s="1">
        <f ca="1">OFFSET(E32,0,6*Dashboard!$Q$3,1,1)</f>
        <v>55.28</v>
      </c>
      <c r="G32" s="1">
        <v>0</v>
      </c>
      <c r="H32" s="1">
        <v>10</v>
      </c>
      <c r="I32" s="1">
        <v>1</v>
      </c>
      <c r="J32" s="1">
        <v>0</v>
      </c>
      <c r="K32" s="1">
        <v>33.850999999999999</v>
      </c>
      <c r="M32" s="1">
        <v>0</v>
      </c>
      <c r="N32" s="1">
        <v>15</v>
      </c>
      <c r="O32" s="1">
        <v>3</v>
      </c>
      <c r="P32" s="1">
        <v>0</v>
      </c>
      <c r="Q32" s="1">
        <v>416.81</v>
      </c>
      <c r="S32" s="1">
        <v>0</v>
      </c>
      <c r="T32" s="1">
        <v>10</v>
      </c>
      <c r="U32" s="1">
        <v>7</v>
      </c>
      <c r="V32" s="1">
        <v>0</v>
      </c>
      <c r="W32" s="1">
        <v>55.28</v>
      </c>
      <c r="CC32" s="32"/>
      <c r="CD32" s="32"/>
      <c r="CE32" s="32"/>
      <c r="CF32" s="32"/>
      <c r="CG32" s="32"/>
      <c r="CH32" s="31">
        <v>0</v>
      </c>
      <c r="CI32" s="31">
        <v>0</v>
      </c>
      <c r="CJ32" s="31">
        <v>0</v>
      </c>
      <c r="CK32" s="31">
        <v>0</v>
      </c>
      <c r="CL32" s="31">
        <v>0</v>
      </c>
    </row>
    <row r="33" spans="1:90">
      <c r="A33" s="1">
        <f ca="1">OFFSET(A33,0,6*Dashboard!$Q$3,1,1)</f>
        <v>0</v>
      </c>
      <c r="B33" s="1">
        <f ca="1">OFFSET(B33,0,6*Dashboard!$Q$3,1,1)</f>
        <v>10</v>
      </c>
      <c r="C33" s="1">
        <f ca="1">OFFSET(C33,0,6*Dashboard!$Q$3,1,1)</f>
        <v>8</v>
      </c>
      <c r="D33" s="1">
        <f ca="1">OFFSET(D33,0,6*Dashboard!$Q$3,1,1)</f>
        <v>0</v>
      </c>
      <c r="E33" s="1">
        <f ca="1">OFFSET(E33,0,6*Dashboard!$Q$3,1,1)</f>
        <v>217</v>
      </c>
      <c r="G33" s="1">
        <v>0</v>
      </c>
      <c r="H33" s="1">
        <v>10</v>
      </c>
      <c r="I33" s="1">
        <v>2</v>
      </c>
      <c r="J33" s="1">
        <v>0</v>
      </c>
      <c r="K33" s="1">
        <v>39.476999999999997</v>
      </c>
      <c r="M33" s="1">
        <v>0</v>
      </c>
      <c r="N33" s="1">
        <v>15</v>
      </c>
      <c r="O33" s="1">
        <v>4</v>
      </c>
      <c r="P33" s="1">
        <v>0</v>
      </c>
      <c r="Q33" s="1">
        <v>499.21</v>
      </c>
      <c r="S33" s="1">
        <v>0</v>
      </c>
      <c r="T33" s="1">
        <v>10</v>
      </c>
      <c r="U33" s="1">
        <v>8</v>
      </c>
      <c r="V33" s="1">
        <v>0</v>
      </c>
      <c r="W33" s="1">
        <v>217</v>
      </c>
      <c r="CC33" s="32"/>
      <c r="CD33" s="32"/>
      <c r="CE33" s="32"/>
      <c r="CF33" s="32"/>
      <c r="CG33" s="32"/>
      <c r="CH33" s="31">
        <v>0</v>
      </c>
      <c r="CI33" s="31">
        <v>0</v>
      </c>
      <c r="CJ33" s="31">
        <v>0</v>
      </c>
      <c r="CK33" s="31">
        <v>0</v>
      </c>
      <c r="CL33" s="31">
        <v>0</v>
      </c>
    </row>
    <row r="34" spans="1:90">
      <c r="A34" s="1">
        <f ca="1">OFFSET(A34,0,6*Dashboard!$Q$3,1,1)</f>
        <v>0</v>
      </c>
      <c r="B34" s="1">
        <f ca="1">OFFSET(B34,0,6*Dashboard!$Q$3,1,1)</f>
        <v>11</v>
      </c>
      <c r="C34" s="1">
        <f ca="1">OFFSET(C34,0,6*Dashboard!$Q$3,1,1)</f>
        <v>1</v>
      </c>
      <c r="D34" s="1">
        <f ca="1">OFFSET(D34,0,6*Dashboard!$Q$3,1,1)</f>
        <v>0</v>
      </c>
      <c r="E34" s="1">
        <f ca="1">OFFSET(E34,0,6*Dashboard!$Q$3,1,1)</f>
        <v>295.99</v>
      </c>
      <c r="G34" s="1">
        <v>0</v>
      </c>
      <c r="H34" s="1">
        <v>10</v>
      </c>
      <c r="I34" s="1">
        <v>3</v>
      </c>
      <c r="J34" s="1">
        <v>0</v>
      </c>
      <c r="K34" s="1">
        <v>79.911000000000001</v>
      </c>
      <c r="M34" s="1">
        <v>0</v>
      </c>
      <c r="N34" s="1">
        <v>15</v>
      </c>
      <c r="O34" s="1">
        <v>5</v>
      </c>
      <c r="P34" s="1">
        <v>0</v>
      </c>
      <c r="Q34" s="1">
        <v>589.15</v>
      </c>
      <c r="S34" s="1">
        <v>0</v>
      </c>
      <c r="T34" s="1">
        <v>11</v>
      </c>
      <c r="U34" s="1">
        <v>1</v>
      </c>
      <c r="V34" s="1">
        <v>0</v>
      </c>
      <c r="W34" s="1">
        <v>295.99</v>
      </c>
      <c r="CC34" s="32"/>
      <c r="CD34" s="32"/>
      <c r="CE34" s="32"/>
      <c r="CF34" s="32"/>
      <c r="CG34" s="32"/>
      <c r="CH34" s="31">
        <v>0</v>
      </c>
      <c r="CI34" s="31">
        <v>0</v>
      </c>
      <c r="CJ34" s="31">
        <v>0</v>
      </c>
      <c r="CK34" s="31">
        <v>0</v>
      </c>
      <c r="CL34" s="31">
        <v>0</v>
      </c>
    </row>
    <row r="35" spans="1:90">
      <c r="A35" s="1">
        <f ca="1">OFFSET(A35,0,6*Dashboard!$Q$3,1,1)</f>
        <v>0</v>
      </c>
      <c r="B35" s="1">
        <f ca="1">OFFSET(B35,0,6*Dashboard!$Q$3,1,1)</f>
        <v>11</v>
      </c>
      <c r="C35" s="1">
        <f ca="1">OFFSET(C35,0,6*Dashboard!$Q$3,1,1)</f>
        <v>2</v>
      </c>
      <c r="D35" s="1">
        <f ca="1">OFFSET(D35,0,6*Dashboard!$Q$3,1,1)</f>
        <v>0</v>
      </c>
      <c r="E35" s="1">
        <f ca="1">OFFSET(E35,0,6*Dashboard!$Q$3,1,1)</f>
        <v>263.31</v>
      </c>
      <c r="G35" s="1">
        <v>0</v>
      </c>
      <c r="H35" s="1">
        <v>10</v>
      </c>
      <c r="I35" s="1">
        <v>4</v>
      </c>
      <c r="J35" s="1">
        <v>0</v>
      </c>
      <c r="K35" s="1">
        <v>52.997999999999998</v>
      </c>
      <c r="M35" s="1">
        <v>0</v>
      </c>
      <c r="N35" s="1">
        <v>15</v>
      </c>
      <c r="O35" s="1">
        <v>6</v>
      </c>
      <c r="P35" s="2">
        <v>0</v>
      </c>
      <c r="Q35" s="2">
        <v>589.14</v>
      </c>
      <c r="R35" s="2"/>
      <c r="S35" s="2">
        <v>0</v>
      </c>
      <c r="T35" s="2">
        <v>11</v>
      </c>
      <c r="U35" s="2">
        <v>2</v>
      </c>
      <c r="V35" s="2">
        <v>0</v>
      </c>
      <c r="W35" s="2">
        <v>263.31</v>
      </c>
      <c r="X35" s="3"/>
      <c r="Y35" s="3"/>
      <c r="Z35" s="3"/>
      <c r="CC35" s="32"/>
      <c r="CD35" s="32"/>
      <c r="CE35" s="32"/>
      <c r="CF35" s="32"/>
      <c r="CG35" s="32"/>
      <c r="CH35" s="31">
        <v>0</v>
      </c>
      <c r="CI35" s="31">
        <v>0</v>
      </c>
      <c r="CJ35" s="31">
        <v>0</v>
      </c>
      <c r="CK35" s="31">
        <v>0</v>
      </c>
      <c r="CL35" s="31">
        <v>0</v>
      </c>
    </row>
    <row r="36" spans="1:90">
      <c r="A36" s="1">
        <f ca="1">OFFSET(A36,0,6*Dashboard!$Q$3,1,1)</f>
        <v>0</v>
      </c>
      <c r="B36" s="1">
        <f ca="1">OFFSET(B36,0,6*Dashboard!$Q$3,1,1)</f>
        <v>11</v>
      </c>
      <c r="C36" s="1">
        <f ca="1">OFFSET(C36,0,6*Dashboard!$Q$3,1,1)</f>
        <v>3</v>
      </c>
      <c r="D36" s="1">
        <f ca="1">OFFSET(D36,0,6*Dashboard!$Q$3,1,1)</f>
        <v>0</v>
      </c>
      <c r="E36" s="1">
        <f ca="1">OFFSET(E36,0,6*Dashboard!$Q$3,1,1)</f>
        <v>250.05</v>
      </c>
      <c r="G36" s="1">
        <v>0</v>
      </c>
      <c r="H36" s="1">
        <v>10</v>
      </c>
      <c r="I36" s="1">
        <v>5</v>
      </c>
      <c r="J36" s="1">
        <v>0</v>
      </c>
      <c r="K36" s="1">
        <v>25.344000000000001</v>
      </c>
      <c r="M36" s="1">
        <v>0</v>
      </c>
      <c r="N36" s="1">
        <v>15</v>
      </c>
      <c r="O36" s="1">
        <v>7</v>
      </c>
      <c r="P36" s="2">
        <v>0</v>
      </c>
      <c r="Q36" s="2">
        <v>636.28</v>
      </c>
      <c r="R36" s="2"/>
      <c r="S36" s="2">
        <v>0</v>
      </c>
      <c r="T36" s="2">
        <v>11</v>
      </c>
      <c r="U36" s="2">
        <v>3</v>
      </c>
      <c r="V36" s="2">
        <v>0</v>
      </c>
      <c r="W36" s="2">
        <v>250.05</v>
      </c>
      <c r="X36" s="3"/>
      <c r="Y36" s="3"/>
      <c r="Z36" s="3"/>
      <c r="CC36" s="32"/>
      <c r="CD36" s="32"/>
      <c r="CE36" s="32"/>
      <c r="CF36" s="32"/>
      <c r="CG36" s="32"/>
      <c r="CH36" s="31">
        <v>0</v>
      </c>
      <c r="CI36" s="31">
        <v>0</v>
      </c>
      <c r="CJ36" s="31">
        <v>0</v>
      </c>
      <c r="CK36" s="31">
        <v>0</v>
      </c>
      <c r="CL36" s="31">
        <v>0</v>
      </c>
    </row>
    <row r="37" spans="1:90">
      <c r="A37" s="1">
        <f ca="1">OFFSET(A37,0,6*Dashboard!$Q$3,1,1)</f>
        <v>0</v>
      </c>
      <c r="B37" s="1">
        <f ca="1">OFFSET(B37,0,6*Dashboard!$Q$3,1,1)</f>
        <v>11</v>
      </c>
      <c r="C37" s="1">
        <f ca="1">OFFSET(C37,0,6*Dashboard!$Q$3,1,1)</f>
        <v>4</v>
      </c>
      <c r="D37" s="1">
        <f ca="1">OFFSET(D37,0,6*Dashboard!$Q$3,1,1)</f>
        <v>0</v>
      </c>
      <c r="E37" s="1">
        <f ca="1">OFFSET(E37,0,6*Dashboard!$Q$3,1,1)</f>
        <v>300.64</v>
      </c>
      <c r="G37" s="1">
        <v>0</v>
      </c>
      <c r="H37" s="1">
        <v>11</v>
      </c>
      <c r="I37" s="1">
        <v>1</v>
      </c>
      <c r="J37" s="1">
        <v>0</v>
      </c>
      <c r="K37" s="1">
        <v>164.55</v>
      </c>
      <c r="M37" s="1">
        <v>0</v>
      </c>
      <c r="N37" s="1">
        <v>16</v>
      </c>
      <c r="O37" s="1">
        <v>1</v>
      </c>
      <c r="P37" s="2">
        <v>0</v>
      </c>
      <c r="Q37" s="2">
        <v>2</v>
      </c>
      <c r="R37" s="2"/>
      <c r="S37" s="2">
        <v>0</v>
      </c>
      <c r="T37" s="2">
        <v>11</v>
      </c>
      <c r="U37" s="2">
        <v>4</v>
      </c>
      <c r="V37" s="2">
        <v>0</v>
      </c>
      <c r="W37" s="2">
        <v>300.64</v>
      </c>
      <c r="X37" s="3"/>
      <c r="Y37" s="3"/>
      <c r="Z37" s="3"/>
      <c r="CC37" s="32"/>
      <c r="CD37" s="32"/>
      <c r="CE37" s="32"/>
      <c r="CF37" s="32"/>
      <c r="CG37" s="32"/>
      <c r="CH37" s="31">
        <v>0</v>
      </c>
      <c r="CI37" s="31">
        <v>0</v>
      </c>
      <c r="CJ37" s="31">
        <v>0</v>
      </c>
      <c r="CK37" s="31">
        <v>0</v>
      </c>
      <c r="CL37" s="31">
        <v>0</v>
      </c>
    </row>
    <row r="38" spans="1:90">
      <c r="A38" s="1">
        <f ca="1">OFFSET(A38,0,6*Dashboard!$Q$3,1,1)</f>
        <v>0</v>
      </c>
      <c r="B38" s="1">
        <f ca="1">OFFSET(B38,0,6*Dashboard!$Q$3,1,1)</f>
        <v>11</v>
      </c>
      <c r="C38" s="1">
        <f ca="1">OFFSET(C38,0,6*Dashboard!$Q$3,1,1)</f>
        <v>5</v>
      </c>
      <c r="D38" s="1">
        <f ca="1">OFFSET(D38,0,6*Dashboard!$Q$3,1,1)</f>
        <v>0</v>
      </c>
      <c r="E38" s="1">
        <f ca="1">OFFSET(E38,0,6*Dashboard!$Q$3,1,1)</f>
        <v>400.9</v>
      </c>
      <c r="G38" s="1">
        <v>0</v>
      </c>
      <c r="H38" s="1">
        <v>11</v>
      </c>
      <c r="I38" s="1">
        <v>2</v>
      </c>
      <c r="J38" s="1">
        <v>0</v>
      </c>
      <c r="K38" s="1">
        <v>132.81</v>
      </c>
      <c r="M38" s="1">
        <v>0</v>
      </c>
      <c r="N38" s="1">
        <v>16</v>
      </c>
      <c r="O38" s="1">
        <v>2</v>
      </c>
      <c r="P38" s="2">
        <v>0</v>
      </c>
      <c r="Q38" s="2">
        <v>2.1</v>
      </c>
      <c r="R38" s="2"/>
      <c r="S38" s="2">
        <v>0</v>
      </c>
      <c r="T38" s="2">
        <v>11</v>
      </c>
      <c r="U38" s="2">
        <v>5</v>
      </c>
      <c r="V38" s="2">
        <v>0</v>
      </c>
      <c r="W38" s="2">
        <v>400.9</v>
      </c>
      <c r="X38" s="3"/>
      <c r="Y38" s="3"/>
      <c r="Z38" s="3"/>
      <c r="CC38" s="32"/>
      <c r="CD38" s="32"/>
      <c r="CE38" s="32"/>
      <c r="CF38" s="32"/>
      <c r="CG38" s="32"/>
      <c r="CH38" s="31">
        <v>0</v>
      </c>
      <c r="CI38" s="31">
        <v>0</v>
      </c>
      <c r="CJ38" s="31">
        <v>0</v>
      </c>
      <c r="CK38" s="31">
        <v>0</v>
      </c>
      <c r="CL38" s="31">
        <v>0</v>
      </c>
    </row>
    <row r="39" spans="1:90">
      <c r="A39" s="1">
        <f ca="1">OFFSET(A39,0,6*Dashboard!$Q$3,1,1)</f>
        <v>0</v>
      </c>
      <c r="B39" s="1">
        <f ca="1">OFFSET(B39,0,6*Dashboard!$Q$3,1,1)</f>
        <v>11</v>
      </c>
      <c r="C39" s="1">
        <f ca="1">OFFSET(C39,0,6*Dashboard!$Q$3,1,1)</f>
        <v>6</v>
      </c>
      <c r="D39" s="1">
        <f ca="1">OFFSET(D39,0,6*Dashboard!$Q$3,1,1)</f>
        <v>0</v>
      </c>
      <c r="E39" s="1">
        <f ca="1">OFFSET(E39,0,6*Dashboard!$Q$3,1,1)</f>
        <v>400.89</v>
      </c>
      <c r="G39" s="1">
        <v>0</v>
      </c>
      <c r="H39" s="1">
        <v>11</v>
      </c>
      <c r="I39" s="1">
        <v>3</v>
      </c>
      <c r="J39" s="1">
        <v>0</v>
      </c>
      <c r="K39" s="1">
        <v>175.47</v>
      </c>
      <c r="M39" s="1">
        <v>0</v>
      </c>
      <c r="N39" s="1">
        <v>16</v>
      </c>
      <c r="O39" s="1">
        <v>3</v>
      </c>
      <c r="P39" s="2">
        <v>0</v>
      </c>
      <c r="Q39" s="2">
        <v>2.2000000000000002</v>
      </c>
      <c r="R39" s="2"/>
      <c r="S39" s="2">
        <v>0</v>
      </c>
      <c r="T39" s="2">
        <v>11</v>
      </c>
      <c r="U39" s="2">
        <v>6</v>
      </c>
      <c r="V39" s="2">
        <v>0</v>
      </c>
      <c r="W39" s="2">
        <v>400.89</v>
      </c>
      <c r="X39" s="3"/>
      <c r="Y39" s="3"/>
      <c r="Z39" s="3"/>
      <c r="CG39" s="32"/>
      <c r="CH39" s="31">
        <v>0</v>
      </c>
      <c r="CI39" s="31">
        <v>0</v>
      </c>
      <c r="CJ39" s="31">
        <v>0</v>
      </c>
      <c r="CK39" s="31">
        <v>0</v>
      </c>
      <c r="CL39" s="31">
        <v>0</v>
      </c>
    </row>
    <row r="40" spans="1:90">
      <c r="A40" s="1">
        <f ca="1">OFFSET(A40,0,6*Dashboard!$Q$3,1,1)</f>
        <v>0</v>
      </c>
      <c r="B40" s="1">
        <f ca="1">OFFSET(B40,0,6*Dashboard!$Q$3,1,1)</f>
        <v>11</v>
      </c>
      <c r="C40" s="1">
        <f ca="1">OFFSET(C40,0,6*Dashboard!$Q$3,1,1)</f>
        <v>7</v>
      </c>
      <c r="D40" s="1">
        <f ca="1">OFFSET(D40,0,6*Dashboard!$Q$3,1,1)</f>
        <v>0</v>
      </c>
      <c r="E40" s="1">
        <f ca="1">OFFSET(E40,0,6*Dashboard!$Q$3,1,1)</f>
        <v>425.69</v>
      </c>
      <c r="G40" s="1">
        <v>0</v>
      </c>
      <c r="H40" s="1">
        <v>11</v>
      </c>
      <c r="I40" s="1">
        <v>4</v>
      </c>
      <c r="J40" s="1">
        <v>0</v>
      </c>
      <c r="K40" s="1">
        <v>131.65</v>
      </c>
      <c r="M40" s="1">
        <v>0</v>
      </c>
      <c r="N40" s="1">
        <v>16</v>
      </c>
      <c r="O40" s="1">
        <v>4</v>
      </c>
      <c r="P40" s="2">
        <v>0</v>
      </c>
      <c r="Q40" s="2">
        <v>2.3000000000000003</v>
      </c>
      <c r="R40" s="2"/>
      <c r="S40" s="2">
        <v>0</v>
      </c>
      <c r="T40" s="2">
        <v>11</v>
      </c>
      <c r="U40" s="2">
        <v>7</v>
      </c>
      <c r="V40" s="2">
        <v>0</v>
      </c>
      <c r="W40" s="2">
        <v>425.69</v>
      </c>
      <c r="X40" s="3"/>
      <c r="Y40" s="3"/>
      <c r="Z40" s="3"/>
      <c r="CG40" s="32"/>
      <c r="CH40" s="31">
        <v>0</v>
      </c>
      <c r="CI40" s="31">
        <v>0</v>
      </c>
      <c r="CJ40" s="31">
        <v>0</v>
      </c>
      <c r="CK40" s="31">
        <v>0</v>
      </c>
      <c r="CL40" s="31">
        <v>0</v>
      </c>
    </row>
    <row r="41" spans="1:90">
      <c r="A41" s="1">
        <f ca="1">OFFSET(A41,0,6*Dashboard!$Q$3,1,1)</f>
        <v>0</v>
      </c>
      <c r="B41" s="1">
        <f ca="1">OFFSET(B41,0,6*Dashboard!$Q$3,1,1)</f>
        <v>11</v>
      </c>
      <c r="C41" s="1">
        <f ca="1">OFFSET(C41,0,6*Dashboard!$Q$3,1,1)</f>
        <v>8</v>
      </c>
      <c r="D41" s="1">
        <f ca="1">OFFSET(D41,0,6*Dashboard!$Q$3,1,1)</f>
        <v>0</v>
      </c>
      <c r="E41" s="1">
        <f ca="1">OFFSET(E41,0,6*Dashboard!$Q$3,1,1)</f>
        <v>273</v>
      </c>
      <c r="G41" s="1">
        <v>0</v>
      </c>
      <c r="H41" s="1">
        <v>11</v>
      </c>
      <c r="I41" s="1">
        <v>5</v>
      </c>
      <c r="J41" s="1">
        <v>0</v>
      </c>
      <c r="K41" s="1">
        <v>171.45</v>
      </c>
      <c r="M41" s="1">
        <v>0</v>
      </c>
      <c r="N41" s="1">
        <v>16</v>
      </c>
      <c r="O41" s="1">
        <v>5</v>
      </c>
      <c r="P41" s="2">
        <v>0</v>
      </c>
      <c r="Q41" s="2">
        <v>2.4000000000000004</v>
      </c>
      <c r="R41" s="2"/>
      <c r="S41" s="2">
        <v>0</v>
      </c>
      <c r="T41" s="2">
        <v>11</v>
      </c>
      <c r="U41" s="2">
        <v>8</v>
      </c>
      <c r="V41" s="2">
        <v>0</v>
      </c>
      <c r="W41" s="2">
        <v>273</v>
      </c>
      <c r="X41" s="3"/>
      <c r="Y41" s="3"/>
      <c r="Z41" s="3"/>
      <c r="CG41" s="32"/>
      <c r="CH41" s="31">
        <v>0</v>
      </c>
      <c r="CI41" s="31">
        <v>0</v>
      </c>
      <c r="CJ41" s="31">
        <v>0</v>
      </c>
      <c r="CK41" s="31">
        <v>0</v>
      </c>
      <c r="CL41" s="31">
        <v>0</v>
      </c>
    </row>
    <row r="42" spans="1:90">
      <c r="A42" s="1">
        <f ca="1">OFFSET(A42,0,6*Dashboard!$Q$3,1,1)</f>
        <v>0</v>
      </c>
      <c r="B42" s="1">
        <f ca="1">OFFSET(B42,0,6*Dashboard!$Q$3,1,1)</f>
        <v>15</v>
      </c>
      <c r="C42" s="1">
        <f ca="1">OFFSET(C42,0,6*Dashboard!$Q$3,1,1)</f>
        <v>1</v>
      </c>
      <c r="D42" s="1">
        <f ca="1">OFFSET(D42,0,6*Dashboard!$Q$3,1,1)</f>
        <v>0</v>
      </c>
      <c r="E42" s="1">
        <f ca="1">OFFSET(E42,0,6*Dashboard!$Q$3,1,1)</f>
        <v>388.65</v>
      </c>
      <c r="G42" s="1">
        <v>0</v>
      </c>
      <c r="H42" s="1">
        <v>13</v>
      </c>
      <c r="I42" s="1">
        <v>1</v>
      </c>
      <c r="J42" s="1">
        <v>0</v>
      </c>
      <c r="K42" s="1">
        <v>5.28651E-6</v>
      </c>
      <c r="M42" s="1">
        <v>0</v>
      </c>
      <c r="N42" s="1">
        <v>16</v>
      </c>
      <c r="O42" s="1">
        <v>6</v>
      </c>
      <c r="P42" s="2">
        <v>0</v>
      </c>
      <c r="Q42" s="2">
        <v>2.4900000000000002</v>
      </c>
      <c r="R42" s="2"/>
      <c r="S42" s="2">
        <v>0</v>
      </c>
      <c r="T42" s="2">
        <v>15</v>
      </c>
      <c r="U42" s="2">
        <v>1</v>
      </c>
      <c r="V42" s="2">
        <v>0</v>
      </c>
      <c r="W42" s="2">
        <v>388.65</v>
      </c>
      <c r="X42" s="3"/>
      <c r="Y42" s="3"/>
      <c r="Z42" s="3"/>
      <c r="CG42" s="32"/>
      <c r="CH42" s="31">
        <v>0</v>
      </c>
      <c r="CI42" s="31">
        <v>0</v>
      </c>
      <c r="CJ42" s="31">
        <v>0</v>
      </c>
      <c r="CK42" s="31">
        <v>0</v>
      </c>
      <c r="CL42" s="31">
        <v>0</v>
      </c>
    </row>
    <row r="43" spans="1:90">
      <c r="A43" s="1">
        <f ca="1">OFFSET(A43,0,6*Dashboard!$Q$3,1,1)</f>
        <v>0</v>
      </c>
      <c r="B43" s="1">
        <f ca="1">OFFSET(B43,0,6*Dashboard!$Q$3,1,1)</f>
        <v>15</v>
      </c>
      <c r="C43" s="1">
        <f ca="1">OFFSET(C43,0,6*Dashboard!$Q$3,1,1)</f>
        <v>2</v>
      </c>
      <c r="D43" s="1">
        <f ca="1">OFFSET(D43,0,6*Dashboard!$Q$3,1,1)</f>
        <v>0</v>
      </c>
      <c r="E43" s="1">
        <f ca="1">OFFSET(E43,0,6*Dashboard!$Q$3,1,1)</f>
        <v>356.93</v>
      </c>
      <c r="G43" s="1">
        <v>0</v>
      </c>
      <c r="H43" s="1">
        <v>13</v>
      </c>
      <c r="I43" s="1">
        <v>2</v>
      </c>
      <c r="J43" s="1">
        <v>0</v>
      </c>
      <c r="K43" s="1">
        <v>6.1399600000000002E-6</v>
      </c>
      <c r="M43" s="1">
        <v>0</v>
      </c>
      <c r="N43" s="1">
        <v>16</v>
      </c>
      <c r="O43" s="1">
        <v>7</v>
      </c>
      <c r="P43" s="2">
        <v>0</v>
      </c>
      <c r="Q43" s="2">
        <v>2.6000000000000005</v>
      </c>
      <c r="R43" s="2"/>
      <c r="S43" s="2">
        <v>0</v>
      </c>
      <c r="T43" s="2">
        <v>15</v>
      </c>
      <c r="U43" s="2">
        <v>2</v>
      </c>
      <c r="V43" s="2">
        <v>0</v>
      </c>
      <c r="W43" s="2">
        <v>356.93</v>
      </c>
      <c r="X43" s="3"/>
      <c r="Y43" s="3"/>
      <c r="Z43" s="3"/>
      <c r="CG43" s="32"/>
      <c r="CH43" s="31">
        <v>0</v>
      </c>
      <c r="CI43" s="31">
        <v>0</v>
      </c>
      <c r="CJ43" s="31">
        <v>0</v>
      </c>
      <c r="CK43" s="31">
        <v>0</v>
      </c>
      <c r="CL43" s="31">
        <v>0</v>
      </c>
    </row>
    <row r="44" spans="1:90">
      <c r="A44" s="1">
        <f ca="1">OFFSET(A44,0,6*Dashboard!$Q$3,1,1)</f>
        <v>0</v>
      </c>
      <c r="B44" s="1">
        <f ca="1">OFFSET(B44,0,6*Dashboard!$Q$3,1,1)</f>
        <v>15</v>
      </c>
      <c r="C44" s="1">
        <f ca="1">OFFSET(C44,0,6*Dashboard!$Q$3,1,1)</f>
        <v>3</v>
      </c>
      <c r="D44" s="1">
        <f ca="1">OFFSET(D44,0,6*Dashboard!$Q$3,1,1)</f>
        <v>0</v>
      </c>
      <c r="E44" s="1">
        <f ca="1">OFFSET(E44,0,6*Dashboard!$Q$3,1,1)</f>
        <v>416.81</v>
      </c>
      <c r="G44" s="1">
        <v>0</v>
      </c>
      <c r="H44" s="1">
        <v>13</v>
      </c>
      <c r="I44" s="1">
        <v>3</v>
      </c>
      <c r="J44" s="1">
        <v>0</v>
      </c>
      <c r="K44" s="1">
        <v>1.1000000000000001E-6</v>
      </c>
      <c r="M44" s="1">
        <v>0</v>
      </c>
      <c r="N44" s="1">
        <v>21</v>
      </c>
      <c r="O44" s="1">
        <v>1</v>
      </c>
      <c r="P44" s="2">
        <v>0</v>
      </c>
      <c r="Q44" s="2">
        <v>21.50763533120136</v>
      </c>
      <c r="R44" s="2"/>
      <c r="S44" s="2">
        <v>0</v>
      </c>
      <c r="T44" s="2">
        <v>15</v>
      </c>
      <c r="U44" s="2">
        <v>3</v>
      </c>
      <c r="V44" s="2">
        <v>0</v>
      </c>
      <c r="W44" s="2">
        <v>416.81</v>
      </c>
      <c r="X44" s="3"/>
      <c r="Y44" s="3"/>
      <c r="Z44" s="3"/>
      <c r="CG44" s="32"/>
      <c r="CH44" s="31">
        <v>0</v>
      </c>
      <c r="CI44" s="31">
        <v>0</v>
      </c>
      <c r="CJ44" s="31">
        <v>0</v>
      </c>
      <c r="CK44" s="31">
        <v>0</v>
      </c>
      <c r="CL44" s="31">
        <v>0</v>
      </c>
    </row>
    <row r="45" spans="1:90">
      <c r="A45" s="1">
        <f ca="1">OFFSET(A45,0,6*Dashboard!$Q$3,1,1)</f>
        <v>0</v>
      </c>
      <c r="B45" s="1">
        <f ca="1">OFFSET(B45,0,6*Dashboard!$Q$3,1,1)</f>
        <v>15</v>
      </c>
      <c r="C45" s="1">
        <f ca="1">OFFSET(C45,0,6*Dashboard!$Q$3,1,1)</f>
        <v>4</v>
      </c>
      <c r="D45" s="1">
        <f ca="1">OFFSET(D45,0,6*Dashboard!$Q$3,1,1)</f>
        <v>0</v>
      </c>
      <c r="E45" s="1">
        <f ca="1">OFFSET(E45,0,6*Dashboard!$Q$3,1,1)</f>
        <v>499.21</v>
      </c>
      <c r="G45" s="1">
        <v>0</v>
      </c>
      <c r="H45" s="1">
        <v>13</v>
      </c>
      <c r="I45" s="1">
        <v>4</v>
      </c>
      <c r="J45" s="1">
        <v>0</v>
      </c>
      <c r="K45" s="1">
        <v>3.00971E-5</v>
      </c>
      <c r="M45" s="1">
        <v>0</v>
      </c>
      <c r="N45" s="1">
        <v>21</v>
      </c>
      <c r="O45" s="1">
        <v>2</v>
      </c>
      <c r="P45" s="2">
        <v>0</v>
      </c>
      <c r="Q45" s="2">
        <v>34.56059992280413</v>
      </c>
      <c r="R45" s="2"/>
      <c r="S45" s="2">
        <v>0</v>
      </c>
      <c r="T45" s="2">
        <v>15</v>
      </c>
      <c r="U45" s="2">
        <v>4</v>
      </c>
      <c r="V45" s="2">
        <v>0</v>
      </c>
      <c r="W45" s="2">
        <v>499.21</v>
      </c>
      <c r="X45" s="3"/>
      <c r="Y45" s="3"/>
      <c r="Z45" s="3"/>
      <c r="CG45" s="32"/>
      <c r="CH45" s="31">
        <v>0</v>
      </c>
      <c r="CI45" s="31">
        <v>0</v>
      </c>
      <c r="CJ45" s="31">
        <v>0</v>
      </c>
      <c r="CK45" s="31">
        <v>0</v>
      </c>
      <c r="CL45" s="31">
        <v>0</v>
      </c>
    </row>
    <row r="46" spans="1:90">
      <c r="A46" s="1">
        <f ca="1">OFFSET(A46,0,6*Dashboard!$Q$3,1,1)</f>
        <v>0</v>
      </c>
      <c r="B46" s="1">
        <f ca="1">OFFSET(B46,0,6*Dashboard!$Q$3,1,1)</f>
        <v>15</v>
      </c>
      <c r="C46" s="1">
        <f ca="1">OFFSET(C46,0,6*Dashboard!$Q$3,1,1)</f>
        <v>5</v>
      </c>
      <c r="D46" s="1">
        <f ca="1">OFFSET(D46,0,6*Dashboard!$Q$3,1,1)</f>
        <v>0</v>
      </c>
      <c r="E46" s="1">
        <f ca="1">OFFSET(E46,0,6*Dashboard!$Q$3,1,1)</f>
        <v>589.15</v>
      </c>
      <c r="G46" s="1">
        <v>0</v>
      </c>
      <c r="H46" s="1">
        <v>13</v>
      </c>
      <c r="I46" s="1">
        <v>5</v>
      </c>
      <c r="J46" s="1">
        <v>0</v>
      </c>
      <c r="K46" s="1">
        <v>2.7209400000000001E-8</v>
      </c>
      <c r="M46" s="1">
        <v>0</v>
      </c>
      <c r="N46" s="1">
        <v>21</v>
      </c>
      <c r="O46" s="1">
        <v>3</v>
      </c>
      <c r="P46" s="2">
        <v>0</v>
      </c>
      <c r="Q46" s="2">
        <v>22.307530280912722</v>
      </c>
      <c r="R46" s="2"/>
      <c r="S46" s="2">
        <v>0</v>
      </c>
      <c r="T46" s="2">
        <v>15</v>
      </c>
      <c r="U46" s="2">
        <v>5</v>
      </c>
      <c r="V46" s="2">
        <v>0</v>
      </c>
      <c r="W46" s="2">
        <v>589.15</v>
      </c>
      <c r="X46" s="3"/>
      <c r="Y46" s="3"/>
      <c r="Z46" s="3"/>
      <c r="CG46" s="32"/>
      <c r="CH46" s="31">
        <v>0</v>
      </c>
      <c r="CI46" s="31">
        <v>0</v>
      </c>
      <c r="CJ46" s="31">
        <v>0</v>
      </c>
      <c r="CK46" s="31">
        <v>0</v>
      </c>
      <c r="CL46" s="31">
        <v>0</v>
      </c>
    </row>
    <row r="47" spans="1:90">
      <c r="A47" s="1">
        <f ca="1">OFFSET(A47,0,6*Dashboard!$Q$3,1,1)</f>
        <v>0</v>
      </c>
      <c r="B47" s="1">
        <f ca="1">OFFSET(B47,0,6*Dashboard!$Q$3,1,1)</f>
        <v>15</v>
      </c>
      <c r="C47" s="1">
        <f ca="1">OFFSET(C47,0,6*Dashboard!$Q$3,1,1)</f>
        <v>6</v>
      </c>
      <c r="D47" s="1">
        <f ca="1">OFFSET(D47,0,6*Dashboard!$Q$3,1,1)</f>
        <v>0</v>
      </c>
      <c r="E47" s="1">
        <f ca="1">OFFSET(E47,0,6*Dashboard!$Q$3,1,1)</f>
        <v>589.14</v>
      </c>
      <c r="G47" s="1">
        <v>0</v>
      </c>
      <c r="H47" s="1">
        <v>14</v>
      </c>
      <c r="I47" s="1">
        <v>1</v>
      </c>
      <c r="J47" s="1">
        <v>0</v>
      </c>
      <c r="K47" s="1">
        <v>164.55</v>
      </c>
      <c r="M47" s="1">
        <v>0</v>
      </c>
      <c r="N47" s="1">
        <v>21</v>
      </c>
      <c r="O47" s="1">
        <v>4</v>
      </c>
      <c r="P47" s="2">
        <v>0</v>
      </c>
      <c r="Q47" s="2">
        <v>26.092258130875624</v>
      </c>
      <c r="R47" s="2"/>
      <c r="S47" s="2">
        <v>0</v>
      </c>
      <c r="T47" s="2">
        <v>15</v>
      </c>
      <c r="U47" s="2">
        <v>6</v>
      </c>
      <c r="V47" s="2">
        <v>0</v>
      </c>
      <c r="W47" s="2">
        <v>589.14</v>
      </c>
      <c r="X47" s="3"/>
      <c r="Y47" s="3"/>
      <c r="Z47" s="3"/>
      <c r="CH47" s="31">
        <v>0</v>
      </c>
      <c r="CI47" s="31">
        <v>0</v>
      </c>
      <c r="CJ47" s="31">
        <v>0</v>
      </c>
      <c r="CK47" s="31">
        <v>0</v>
      </c>
      <c r="CL47" s="31">
        <v>0</v>
      </c>
    </row>
    <row r="48" spans="1:90">
      <c r="A48" s="1">
        <f ca="1">OFFSET(A48,0,6*Dashboard!$Q$3,1,1)</f>
        <v>0</v>
      </c>
      <c r="B48" s="1">
        <f ca="1">OFFSET(B48,0,6*Dashboard!$Q$3,1,1)</f>
        <v>15</v>
      </c>
      <c r="C48" s="1">
        <f ca="1">OFFSET(C48,0,6*Dashboard!$Q$3,1,1)</f>
        <v>7</v>
      </c>
      <c r="D48" s="1">
        <f ca="1">OFFSET(D48,0,6*Dashboard!$Q$3,1,1)</f>
        <v>0</v>
      </c>
      <c r="E48" s="1">
        <f ca="1">OFFSET(E48,0,6*Dashboard!$Q$3,1,1)</f>
        <v>636.28</v>
      </c>
      <c r="G48" s="1">
        <v>0</v>
      </c>
      <c r="H48" s="1">
        <v>14</v>
      </c>
      <c r="I48" s="1">
        <v>2</v>
      </c>
      <c r="J48" s="1">
        <v>0</v>
      </c>
      <c r="K48" s="1">
        <v>132.81</v>
      </c>
      <c r="M48" s="1">
        <v>0</v>
      </c>
      <c r="N48" s="1">
        <v>21</v>
      </c>
      <c r="O48" s="1">
        <v>5</v>
      </c>
      <c r="P48" s="2">
        <v>0</v>
      </c>
      <c r="Q48" s="2">
        <v>48.549183293675839</v>
      </c>
      <c r="R48" s="2"/>
      <c r="S48" s="2">
        <v>0</v>
      </c>
      <c r="T48" s="2">
        <v>15</v>
      </c>
      <c r="U48" s="2">
        <v>7</v>
      </c>
      <c r="V48" s="2">
        <v>0</v>
      </c>
      <c r="W48" s="2">
        <v>636.28</v>
      </c>
      <c r="X48" s="3"/>
      <c r="Y48" s="3"/>
      <c r="Z48" s="3"/>
      <c r="CH48" s="31">
        <v>0</v>
      </c>
      <c r="CI48" s="31">
        <v>0</v>
      </c>
      <c r="CJ48" s="31">
        <v>0</v>
      </c>
      <c r="CK48" s="31">
        <v>0</v>
      </c>
      <c r="CL48" s="31">
        <v>0</v>
      </c>
    </row>
    <row r="49" spans="1:90">
      <c r="A49" s="1">
        <f ca="1">OFFSET(A49,0,6*Dashboard!$Q$3,1,1)</f>
        <v>0</v>
      </c>
      <c r="B49" s="1">
        <f ca="1">OFFSET(B49,0,6*Dashboard!$Q$3,1,1)</f>
        <v>15</v>
      </c>
      <c r="C49" s="1">
        <f ca="1">OFFSET(C49,0,6*Dashboard!$Q$3,1,1)</f>
        <v>8</v>
      </c>
      <c r="D49" s="1">
        <f ca="1">OFFSET(D49,0,6*Dashboard!$Q$3,1,1)</f>
        <v>0</v>
      </c>
      <c r="E49" s="1">
        <f ca="1">OFFSET(E49,0,6*Dashboard!$Q$3,1,1)</f>
        <v>373</v>
      </c>
      <c r="G49" s="1">
        <v>0</v>
      </c>
      <c r="H49" s="1">
        <v>14</v>
      </c>
      <c r="I49" s="1">
        <v>3</v>
      </c>
      <c r="J49" s="1">
        <v>0</v>
      </c>
      <c r="K49" s="1">
        <v>175.47</v>
      </c>
      <c r="M49" s="1">
        <v>0</v>
      </c>
      <c r="N49" s="1">
        <v>21</v>
      </c>
      <c r="O49" s="1">
        <v>6</v>
      </c>
      <c r="P49" s="2">
        <v>0</v>
      </c>
      <c r="Q49" s="2">
        <v>48.5</v>
      </c>
      <c r="R49" s="2"/>
      <c r="S49" s="2">
        <v>0</v>
      </c>
      <c r="T49" s="2">
        <v>15</v>
      </c>
      <c r="U49" s="2">
        <v>8</v>
      </c>
      <c r="V49" s="2">
        <v>0</v>
      </c>
      <c r="W49" s="2">
        <v>373</v>
      </c>
      <c r="X49" s="3"/>
      <c r="Y49" s="3"/>
      <c r="Z49" s="3"/>
      <c r="CH49" s="31">
        <v>0</v>
      </c>
      <c r="CI49" s="31">
        <v>0</v>
      </c>
      <c r="CJ49" s="31">
        <v>0</v>
      </c>
      <c r="CK49" s="31">
        <v>0</v>
      </c>
      <c r="CL49" s="31">
        <v>0</v>
      </c>
    </row>
    <row r="50" spans="1:90">
      <c r="A50" s="1">
        <f ca="1">OFFSET(A50,0,6*Dashboard!$Q$3,1,1)</f>
        <v>0</v>
      </c>
      <c r="B50" s="1">
        <f ca="1">OFFSET(B50,0,6*Dashboard!$Q$3,1,1)</f>
        <v>16</v>
      </c>
      <c r="C50" s="1">
        <f ca="1">OFFSET(C50,0,6*Dashboard!$Q$3,1,1)</f>
        <v>1</v>
      </c>
      <c r="D50" s="1">
        <f ca="1">OFFSET(D50,0,6*Dashboard!$Q$3,1,1)</f>
        <v>0</v>
      </c>
      <c r="E50" s="1">
        <f ca="1">OFFSET(E50,0,6*Dashboard!$Q$3,1,1)</f>
        <v>2.98374E-2</v>
      </c>
      <c r="G50" s="1">
        <v>0</v>
      </c>
      <c r="H50" s="1">
        <v>14</v>
      </c>
      <c r="I50" s="1">
        <v>4</v>
      </c>
      <c r="J50" s="1">
        <v>0</v>
      </c>
      <c r="K50" s="1">
        <v>131.65</v>
      </c>
      <c r="M50" s="1">
        <v>0</v>
      </c>
      <c r="N50" s="1">
        <v>21</v>
      </c>
      <c r="O50" s="1">
        <v>7</v>
      </c>
      <c r="P50" s="2">
        <v>0</v>
      </c>
      <c r="Q50" s="2">
        <v>48.597271910801318</v>
      </c>
      <c r="R50" s="2"/>
      <c r="S50" s="2">
        <v>0</v>
      </c>
      <c r="T50" s="2">
        <v>16</v>
      </c>
      <c r="U50" s="2">
        <v>1</v>
      </c>
      <c r="V50" s="2">
        <v>0</v>
      </c>
      <c r="W50" s="2">
        <v>2.98374E-2</v>
      </c>
      <c r="X50" s="3"/>
      <c r="Y50" s="3"/>
      <c r="Z50" s="3"/>
      <c r="CH50" s="31">
        <v>0</v>
      </c>
      <c r="CI50" s="31">
        <v>0</v>
      </c>
      <c r="CJ50" s="31">
        <v>0</v>
      </c>
      <c r="CK50" s="31">
        <v>0</v>
      </c>
      <c r="CL50" s="31">
        <v>0</v>
      </c>
    </row>
    <row r="51" spans="1:90">
      <c r="A51" s="1">
        <f ca="1">OFFSET(A51,0,6*Dashboard!$Q$3,1,1)</f>
        <v>0</v>
      </c>
      <c r="B51" s="1">
        <f ca="1">OFFSET(B51,0,6*Dashboard!$Q$3,1,1)</f>
        <v>16</v>
      </c>
      <c r="C51" s="1">
        <f ca="1">OFFSET(C51,0,6*Dashboard!$Q$3,1,1)</f>
        <v>2</v>
      </c>
      <c r="D51" s="1">
        <f ca="1">OFFSET(D51,0,6*Dashboard!$Q$3,1,1)</f>
        <v>0</v>
      </c>
      <c r="E51" s="1">
        <f ca="1">OFFSET(E51,0,6*Dashboard!$Q$3,1,1)</f>
        <v>7.70536E-2</v>
      </c>
      <c r="G51" s="1">
        <v>0</v>
      </c>
      <c r="H51" s="1">
        <v>14</v>
      </c>
      <c r="I51" s="1">
        <v>5</v>
      </c>
      <c r="J51" s="1">
        <v>0</v>
      </c>
      <c r="K51" s="1">
        <v>171.45</v>
      </c>
      <c r="M51" s="1">
        <v>0</v>
      </c>
      <c r="N51" s="1">
        <v>22</v>
      </c>
      <c r="O51" s="1">
        <v>1</v>
      </c>
      <c r="P51" s="2">
        <v>0</v>
      </c>
      <c r="Q51" s="2">
        <v>2.0699999999999998</v>
      </c>
      <c r="R51" s="2"/>
      <c r="S51" s="2">
        <v>0</v>
      </c>
      <c r="T51" s="2">
        <v>16</v>
      </c>
      <c r="U51" s="2">
        <v>2</v>
      </c>
      <c r="V51" s="2">
        <v>0</v>
      </c>
      <c r="W51" s="2">
        <v>7.70536E-2</v>
      </c>
      <c r="X51" s="3"/>
      <c r="Y51" s="3"/>
      <c r="Z51" s="3"/>
      <c r="CH51" s="31">
        <v>0</v>
      </c>
      <c r="CI51" s="31">
        <v>0</v>
      </c>
      <c r="CJ51" s="31">
        <v>0</v>
      </c>
      <c r="CK51" s="31">
        <v>0</v>
      </c>
      <c r="CL51" s="31">
        <v>0</v>
      </c>
    </row>
    <row r="52" spans="1:90">
      <c r="A52" s="1">
        <f ca="1">OFFSET(A52,0,6*Dashboard!$Q$3,1,1)</f>
        <v>0</v>
      </c>
      <c r="B52" s="1">
        <f ca="1">OFFSET(B52,0,6*Dashboard!$Q$3,1,1)</f>
        <v>16</v>
      </c>
      <c r="C52" s="1">
        <f ca="1">OFFSET(C52,0,6*Dashboard!$Q$3,1,1)</f>
        <v>3</v>
      </c>
      <c r="D52" s="1">
        <f ca="1">OFFSET(D52,0,6*Dashboard!$Q$3,1,1)</f>
        <v>0</v>
      </c>
      <c r="E52" s="1">
        <f ca="1">OFFSET(E52,0,6*Dashboard!$Q$3,1,1)</f>
        <v>9.5726000000000006E-3</v>
      </c>
      <c r="G52" s="1">
        <v>0</v>
      </c>
      <c r="H52" s="1">
        <v>15</v>
      </c>
      <c r="I52" s="1">
        <v>1</v>
      </c>
      <c r="J52" s="1">
        <v>0</v>
      </c>
      <c r="K52" s="1">
        <v>328.35</v>
      </c>
      <c r="M52" s="1">
        <v>0</v>
      </c>
      <c r="N52" s="1">
        <v>22</v>
      </c>
      <c r="O52" s="1">
        <v>2</v>
      </c>
      <c r="P52" s="2">
        <v>0</v>
      </c>
      <c r="Q52" s="2">
        <v>2.25</v>
      </c>
      <c r="R52" s="2"/>
      <c r="S52" s="2">
        <v>0</v>
      </c>
      <c r="T52" s="2">
        <v>16</v>
      </c>
      <c r="U52" s="2">
        <v>3</v>
      </c>
      <c r="V52" s="2">
        <v>0</v>
      </c>
      <c r="W52" s="2">
        <v>9.5726000000000006E-3</v>
      </c>
      <c r="X52" s="3"/>
      <c r="Y52" s="3"/>
      <c r="Z52" s="3"/>
      <c r="CH52" s="31">
        <v>0</v>
      </c>
      <c r="CI52" s="31">
        <v>0</v>
      </c>
      <c r="CJ52" s="31">
        <v>0</v>
      </c>
      <c r="CK52" s="31">
        <v>0</v>
      </c>
      <c r="CL52" s="31">
        <v>0</v>
      </c>
    </row>
    <row r="53" spans="1:90">
      <c r="A53" s="1">
        <f ca="1">OFFSET(A53,0,6*Dashboard!$Q$3,1,1)</f>
        <v>0</v>
      </c>
      <c r="B53" s="1">
        <f ca="1">OFFSET(B53,0,6*Dashboard!$Q$3,1,1)</f>
        <v>16</v>
      </c>
      <c r="C53" s="1">
        <f ca="1">OFFSET(C53,0,6*Dashboard!$Q$3,1,1)</f>
        <v>4</v>
      </c>
      <c r="D53" s="1">
        <f ca="1">OFFSET(D53,0,6*Dashboard!$Q$3,1,1)</f>
        <v>0</v>
      </c>
      <c r="E53" s="1">
        <f ca="1">OFFSET(E53,0,6*Dashboard!$Q$3,1,1)</f>
        <v>4.15E-4</v>
      </c>
      <c r="G53" s="1">
        <v>0</v>
      </c>
      <c r="H53" s="1">
        <v>15</v>
      </c>
      <c r="I53" s="1">
        <v>2</v>
      </c>
      <c r="J53" s="1">
        <v>0</v>
      </c>
      <c r="K53" s="1">
        <v>266.25</v>
      </c>
      <c r="M53" s="1">
        <v>0</v>
      </c>
      <c r="N53" s="1">
        <v>22</v>
      </c>
      <c r="O53" s="1">
        <v>3</v>
      </c>
      <c r="P53" s="2">
        <v>0</v>
      </c>
      <c r="Q53" s="2">
        <v>1.81</v>
      </c>
      <c r="R53" s="2"/>
      <c r="S53" s="2">
        <v>0</v>
      </c>
      <c r="T53" s="2">
        <v>16</v>
      </c>
      <c r="U53" s="2">
        <v>4</v>
      </c>
      <c r="V53" s="2">
        <v>0</v>
      </c>
      <c r="W53" s="2">
        <v>4.15E-4</v>
      </c>
      <c r="X53" s="3"/>
      <c r="Y53" s="3"/>
      <c r="Z53" s="3"/>
      <c r="CH53" s="31">
        <v>0</v>
      </c>
      <c r="CI53" s="31">
        <v>0</v>
      </c>
      <c r="CJ53" s="31">
        <v>0</v>
      </c>
      <c r="CK53" s="31">
        <v>0</v>
      </c>
      <c r="CL53" s="31">
        <v>0</v>
      </c>
    </row>
    <row r="54" spans="1:90">
      <c r="A54" s="1">
        <f ca="1">OFFSET(A54,0,6*Dashboard!$Q$3,1,1)</f>
        <v>0</v>
      </c>
      <c r="B54" s="1">
        <f ca="1">OFFSET(B54,0,6*Dashboard!$Q$3,1,1)</f>
        <v>16</v>
      </c>
      <c r="C54" s="1">
        <f ca="1">OFFSET(C54,0,6*Dashboard!$Q$3,1,1)</f>
        <v>5</v>
      </c>
      <c r="D54" s="1">
        <f ca="1">OFFSET(D54,0,6*Dashboard!$Q$3,1,1)</f>
        <v>0</v>
      </c>
      <c r="E54" s="1">
        <f ca="1">OFFSET(E54,0,6*Dashboard!$Q$3,1,1)</f>
        <v>1.2799999999999999E-9</v>
      </c>
      <c r="G54" s="1">
        <v>0</v>
      </c>
      <c r="H54" s="1">
        <v>15</v>
      </c>
      <c r="I54" s="1">
        <v>3</v>
      </c>
      <c r="J54" s="1">
        <v>0</v>
      </c>
      <c r="K54" s="1">
        <v>175.47</v>
      </c>
      <c r="M54" s="1">
        <v>0</v>
      </c>
      <c r="N54" s="1">
        <v>22</v>
      </c>
      <c r="O54" s="1">
        <v>4</v>
      </c>
      <c r="P54" s="2">
        <v>0</v>
      </c>
      <c r="Q54" s="2">
        <v>1.63</v>
      </c>
      <c r="R54" s="2"/>
      <c r="S54" s="2">
        <v>0</v>
      </c>
      <c r="T54" s="2">
        <v>16</v>
      </c>
      <c r="U54" s="2">
        <v>5</v>
      </c>
      <c r="V54" s="2">
        <v>0</v>
      </c>
      <c r="W54" s="2">
        <v>1.2799999999999999E-9</v>
      </c>
      <c r="X54" s="3"/>
      <c r="Y54" s="3"/>
      <c r="Z54" s="3"/>
      <c r="CH54" s="31">
        <v>0</v>
      </c>
      <c r="CI54" s="31">
        <v>0</v>
      </c>
      <c r="CJ54" s="31">
        <v>0</v>
      </c>
      <c r="CK54" s="31">
        <v>0</v>
      </c>
      <c r="CL54" s="31">
        <v>0</v>
      </c>
    </row>
    <row r="55" spans="1:90">
      <c r="A55" s="1">
        <f ca="1">OFFSET(A55,0,6*Dashboard!$Q$3,1,1)</f>
        <v>0</v>
      </c>
      <c r="B55" s="1">
        <f ca="1">OFFSET(B55,0,6*Dashboard!$Q$3,1,1)</f>
        <v>16</v>
      </c>
      <c r="C55" s="1">
        <f ca="1">OFFSET(C55,0,6*Dashboard!$Q$3,1,1)</f>
        <v>6</v>
      </c>
      <c r="D55" s="1">
        <f ca="1">OFFSET(D55,0,6*Dashboard!$Q$3,1,1)</f>
        <v>0</v>
      </c>
      <c r="E55" s="1">
        <f ca="1">OFFSET(E55,0,6*Dashboard!$Q$3,1,1)</f>
        <v>1.27E-9</v>
      </c>
      <c r="G55" s="1">
        <v>0</v>
      </c>
      <c r="H55" s="1">
        <v>15</v>
      </c>
      <c r="I55" s="1">
        <v>4</v>
      </c>
      <c r="J55" s="1">
        <v>0</v>
      </c>
      <c r="K55" s="1">
        <v>248.31</v>
      </c>
      <c r="M55" s="1">
        <v>0</v>
      </c>
      <c r="N55" s="1">
        <v>22</v>
      </c>
      <c r="O55" s="1">
        <v>5</v>
      </c>
      <c r="P55" s="2">
        <v>0</v>
      </c>
      <c r="Q55" s="2">
        <v>1.87</v>
      </c>
      <c r="R55" s="2"/>
      <c r="S55" s="2">
        <v>0</v>
      </c>
      <c r="T55" s="2">
        <v>16</v>
      </c>
      <c r="U55" s="2">
        <v>6</v>
      </c>
      <c r="V55" s="2">
        <v>0</v>
      </c>
      <c r="W55" s="2">
        <v>1.27E-9</v>
      </c>
      <c r="X55" s="3"/>
      <c r="Y55" s="3"/>
      <c r="Z55" s="3"/>
      <c r="CH55" s="31">
        <v>0</v>
      </c>
      <c r="CI55" s="31">
        <v>0</v>
      </c>
      <c r="CJ55" s="31">
        <v>0</v>
      </c>
      <c r="CK55" s="31">
        <v>0</v>
      </c>
      <c r="CL55" s="31">
        <v>0</v>
      </c>
    </row>
    <row r="56" spans="1:90">
      <c r="A56" s="1">
        <f ca="1">OFFSET(A56,0,6*Dashboard!$Q$3,1,1)</f>
        <v>0</v>
      </c>
      <c r="B56" s="1">
        <f ca="1">OFFSET(B56,0,6*Dashboard!$Q$3,1,1)</f>
        <v>16</v>
      </c>
      <c r="C56" s="1">
        <f ca="1">OFFSET(C56,0,6*Dashboard!$Q$3,1,1)</f>
        <v>7</v>
      </c>
      <c r="D56" s="1">
        <f ca="1">OFFSET(D56,0,6*Dashboard!$Q$3,1,1)</f>
        <v>0</v>
      </c>
      <c r="E56" s="1">
        <f ca="1">OFFSET(E56,0,6*Dashboard!$Q$3,1,1)</f>
        <v>1.26E-9</v>
      </c>
      <c r="G56" s="1">
        <v>0</v>
      </c>
      <c r="H56" s="1">
        <v>15</v>
      </c>
      <c r="I56" s="1">
        <v>5</v>
      </c>
      <c r="J56" s="1">
        <v>0</v>
      </c>
      <c r="K56" s="1">
        <v>394.44</v>
      </c>
      <c r="M56" s="1">
        <v>0</v>
      </c>
      <c r="N56" s="1">
        <v>22</v>
      </c>
      <c r="O56" s="1">
        <v>6</v>
      </c>
      <c r="P56" s="2">
        <v>0</v>
      </c>
      <c r="Q56" s="2">
        <v>1.86</v>
      </c>
      <c r="R56" s="2"/>
      <c r="S56" s="2">
        <v>0</v>
      </c>
      <c r="T56" s="2">
        <v>16</v>
      </c>
      <c r="U56" s="2">
        <v>7</v>
      </c>
      <c r="V56" s="2">
        <v>0</v>
      </c>
      <c r="W56" s="2">
        <v>1.26E-9</v>
      </c>
      <c r="X56" s="3"/>
      <c r="Y56" s="3"/>
      <c r="Z56" s="3"/>
      <c r="CH56" s="31">
        <v>0</v>
      </c>
      <c r="CI56" s="31">
        <v>0</v>
      </c>
      <c r="CJ56" s="31">
        <v>0</v>
      </c>
      <c r="CK56" s="31">
        <v>0</v>
      </c>
      <c r="CL56" s="31">
        <v>0</v>
      </c>
    </row>
    <row r="57" spans="1:90">
      <c r="A57" s="1">
        <f ca="1">OFFSET(A57,0,6*Dashboard!$Q$3,1,1)</f>
        <v>0</v>
      </c>
      <c r="B57" s="1">
        <f ca="1">OFFSET(B57,0,6*Dashboard!$Q$3,1,1)</f>
        <v>16</v>
      </c>
      <c r="C57" s="1">
        <f ca="1">OFFSET(C57,0,6*Dashboard!$Q$3,1,1)</f>
        <v>8</v>
      </c>
      <c r="D57" s="1">
        <f ca="1">OFFSET(D57,0,6*Dashboard!$Q$3,1,1)</f>
        <v>0</v>
      </c>
      <c r="E57" s="1">
        <f ca="1">OFFSET(E57,0,6*Dashboard!$Q$3,1,1)</f>
        <v>3.1699999999999999E-2</v>
      </c>
      <c r="G57" s="1">
        <v>0</v>
      </c>
      <c r="H57" s="1">
        <v>16</v>
      </c>
      <c r="I57" s="1">
        <v>1</v>
      </c>
      <c r="J57" s="1">
        <v>0</v>
      </c>
      <c r="K57" s="2">
        <v>33200</v>
      </c>
      <c r="M57" s="1">
        <v>0</v>
      </c>
      <c r="N57" s="1">
        <v>22</v>
      </c>
      <c r="O57" s="1">
        <v>7</v>
      </c>
      <c r="P57" s="2">
        <v>0</v>
      </c>
      <c r="Q57" s="2">
        <v>1.86</v>
      </c>
      <c r="R57" s="2"/>
      <c r="S57" s="2">
        <v>0</v>
      </c>
      <c r="T57" s="2">
        <v>16</v>
      </c>
      <c r="U57" s="2">
        <v>8</v>
      </c>
      <c r="V57" s="2">
        <v>0</v>
      </c>
      <c r="W57" s="2">
        <v>3.1699999999999999E-2</v>
      </c>
      <c r="X57" s="3"/>
      <c r="Y57" s="3"/>
      <c r="Z57" s="3"/>
      <c r="CH57" s="31">
        <v>0</v>
      </c>
      <c r="CI57" s="31">
        <v>0</v>
      </c>
      <c r="CJ57" s="31">
        <v>0</v>
      </c>
      <c r="CK57" s="31">
        <v>0</v>
      </c>
      <c r="CL57" s="31">
        <v>0</v>
      </c>
    </row>
    <row r="58" spans="1:90">
      <c r="A58" s="1">
        <f ca="1">OFFSET(A58,0,6*Dashboard!$Q$3,1,1)</f>
        <v>0</v>
      </c>
      <c r="B58" s="1">
        <f ca="1">OFFSET(B58,0,6*Dashboard!$Q$3,1,1)</f>
        <v>21</v>
      </c>
      <c r="C58" s="1">
        <f ca="1">OFFSET(C58,0,6*Dashboard!$Q$3,1,1)</f>
        <v>1</v>
      </c>
      <c r="D58" s="1">
        <f ca="1">OFFSET(D58,0,6*Dashboard!$Q$3,1,1)</f>
        <v>0</v>
      </c>
      <c r="E58" s="1">
        <f ca="1">OFFSET(E58,0,6*Dashboard!$Q$3,1,1)</f>
        <v>0.95</v>
      </c>
      <c r="G58" s="1">
        <v>0</v>
      </c>
      <c r="H58" s="1">
        <v>16</v>
      </c>
      <c r="I58" s="1">
        <v>2</v>
      </c>
      <c r="J58" s="1">
        <v>0</v>
      </c>
      <c r="K58" s="2">
        <v>303000</v>
      </c>
      <c r="M58" s="1">
        <v>0</v>
      </c>
      <c r="N58" s="1">
        <v>24</v>
      </c>
      <c r="O58" s="1">
        <v>1</v>
      </c>
      <c r="P58" s="2">
        <v>0</v>
      </c>
      <c r="Q58" s="2">
        <v>27.86</v>
      </c>
      <c r="R58" s="2"/>
      <c r="S58" s="2">
        <v>0</v>
      </c>
      <c r="T58" s="2">
        <v>21</v>
      </c>
      <c r="U58" s="2">
        <v>1</v>
      </c>
      <c r="V58" s="2">
        <v>0</v>
      </c>
      <c r="W58" s="2">
        <v>0.95</v>
      </c>
      <c r="X58" s="3"/>
      <c r="Y58" s="3"/>
      <c r="Z58" s="3"/>
      <c r="CH58" s="31">
        <v>0</v>
      </c>
      <c r="CI58" s="31">
        <v>0</v>
      </c>
      <c r="CJ58" s="31">
        <v>0</v>
      </c>
      <c r="CK58" s="31">
        <v>0</v>
      </c>
      <c r="CL58" s="31">
        <v>0</v>
      </c>
    </row>
    <row r="59" spans="1:90">
      <c r="A59" s="1">
        <f ca="1">OFFSET(A59,0,6*Dashboard!$Q$3,1,1)</f>
        <v>0</v>
      </c>
      <c r="B59" s="1">
        <f ca="1">OFFSET(B59,0,6*Dashboard!$Q$3,1,1)</f>
        <v>21</v>
      </c>
      <c r="C59" s="1">
        <f ca="1">OFFSET(C59,0,6*Dashboard!$Q$3,1,1)</f>
        <v>2</v>
      </c>
      <c r="D59" s="1">
        <f ca="1">OFFSET(D59,0,6*Dashboard!$Q$3,1,1)</f>
        <v>0</v>
      </c>
      <c r="E59" s="1">
        <f ca="1">OFFSET(E59,0,6*Dashboard!$Q$3,1,1)</f>
        <v>0.95</v>
      </c>
      <c r="G59" s="1">
        <v>0</v>
      </c>
      <c r="H59" s="1">
        <v>16</v>
      </c>
      <c r="I59" s="1">
        <v>3</v>
      </c>
      <c r="J59" s="1">
        <v>0</v>
      </c>
      <c r="K59" s="2">
        <v>16700</v>
      </c>
      <c r="M59" s="1">
        <v>0</v>
      </c>
      <c r="N59" s="1">
        <v>24</v>
      </c>
      <c r="O59" s="1">
        <v>2</v>
      </c>
      <c r="P59" s="2">
        <v>0</v>
      </c>
      <c r="Q59" s="2">
        <v>27.97</v>
      </c>
      <c r="R59" s="2"/>
      <c r="S59" s="2">
        <v>0</v>
      </c>
      <c r="T59" s="2">
        <v>21</v>
      </c>
      <c r="U59" s="2">
        <v>2</v>
      </c>
      <c r="V59" s="2">
        <v>0</v>
      </c>
      <c r="W59" s="2">
        <v>0.95</v>
      </c>
      <c r="X59" s="3"/>
      <c r="Y59" s="3"/>
      <c r="Z59" s="3"/>
      <c r="CH59" s="31">
        <v>0</v>
      </c>
      <c r="CI59" s="31">
        <v>0</v>
      </c>
      <c r="CJ59" s="31">
        <v>0</v>
      </c>
      <c r="CK59" s="31">
        <v>0</v>
      </c>
      <c r="CL59" s="31">
        <v>0</v>
      </c>
    </row>
    <row r="60" spans="1:90">
      <c r="A60" s="1">
        <f ca="1">OFFSET(A60,0,6*Dashboard!$Q$3,1,1)</f>
        <v>0</v>
      </c>
      <c r="B60" s="1">
        <f ca="1">OFFSET(B60,0,6*Dashboard!$Q$3,1,1)</f>
        <v>21</v>
      </c>
      <c r="C60" s="1">
        <f ca="1">OFFSET(C60,0,6*Dashboard!$Q$3,1,1)</f>
        <v>3</v>
      </c>
      <c r="D60" s="1">
        <f ca="1">OFFSET(D60,0,6*Dashboard!$Q$3,1,1)</f>
        <v>0</v>
      </c>
      <c r="E60" s="1">
        <f ca="1">OFFSET(E60,0,6*Dashboard!$Q$3,1,1)</f>
        <v>0.95</v>
      </c>
      <c r="G60" s="1">
        <v>0</v>
      </c>
      <c r="H60" s="1">
        <v>16</v>
      </c>
      <c r="I60" s="1">
        <v>4</v>
      </c>
      <c r="J60" s="1">
        <v>0</v>
      </c>
      <c r="K60" s="2">
        <v>592000</v>
      </c>
      <c r="M60" s="1">
        <v>0</v>
      </c>
      <c r="N60" s="1">
        <v>24</v>
      </c>
      <c r="O60" s="1">
        <v>3</v>
      </c>
      <c r="P60" s="2">
        <v>0</v>
      </c>
      <c r="Q60" s="2">
        <v>43.09</v>
      </c>
      <c r="R60" s="2"/>
      <c r="S60" s="2">
        <v>0</v>
      </c>
      <c r="T60" s="2">
        <v>21</v>
      </c>
      <c r="U60" s="2">
        <v>3</v>
      </c>
      <c r="V60" s="2">
        <v>0</v>
      </c>
      <c r="W60" s="2">
        <v>0.95</v>
      </c>
      <c r="X60" s="3"/>
      <c r="Y60" s="3"/>
      <c r="Z60" s="3"/>
      <c r="CH60" s="31">
        <v>0</v>
      </c>
      <c r="CI60" s="31">
        <v>0</v>
      </c>
      <c r="CJ60" s="31">
        <v>0</v>
      </c>
      <c r="CK60" s="31">
        <v>0</v>
      </c>
      <c r="CL60" s="31">
        <v>0</v>
      </c>
    </row>
    <row r="61" spans="1:90">
      <c r="A61" s="1">
        <f ca="1">OFFSET(A61,0,6*Dashboard!$Q$3,1,1)</f>
        <v>0</v>
      </c>
      <c r="B61" s="1">
        <f ca="1">OFFSET(B61,0,6*Dashboard!$Q$3,1,1)</f>
        <v>21</v>
      </c>
      <c r="C61" s="1">
        <f ca="1">OFFSET(C61,0,6*Dashboard!$Q$3,1,1)</f>
        <v>4</v>
      </c>
      <c r="D61" s="1">
        <f ca="1">OFFSET(D61,0,6*Dashboard!$Q$3,1,1)</f>
        <v>0</v>
      </c>
      <c r="E61" s="1">
        <f ca="1">OFFSET(E61,0,6*Dashboard!$Q$3,1,1)</f>
        <v>0.95</v>
      </c>
      <c r="G61" s="1">
        <v>0</v>
      </c>
      <c r="H61" s="1">
        <v>16</v>
      </c>
      <c r="I61" s="1">
        <v>5</v>
      </c>
      <c r="J61" s="1">
        <v>0</v>
      </c>
      <c r="K61" s="2">
        <v>2310</v>
      </c>
      <c r="M61" s="1">
        <v>0</v>
      </c>
      <c r="N61" s="1">
        <v>24</v>
      </c>
      <c r="O61" s="1">
        <v>4</v>
      </c>
      <c r="P61" s="2">
        <v>0</v>
      </c>
      <c r="Q61" s="2">
        <v>59.71</v>
      </c>
      <c r="R61" s="2"/>
      <c r="S61" s="2">
        <v>0</v>
      </c>
      <c r="T61" s="2">
        <v>21</v>
      </c>
      <c r="U61" s="2">
        <v>4</v>
      </c>
      <c r="V61" s="2">
        <v>0</v>
      </c>
      <c r="W61" s="2">
        <v>0.95</v>
      </c>
      <c r="X61" s="3"/>
      <c r="Y61" s="3"/>
      <c r="Z61" s="3"/>
      <c r="CH61" s="31">
        <v>0</v>
      </c>
      <c r="CI61" s="31">
        <v>0</v>
      </c>
      <c r="CJ61" s="31">
        <v>0</v>
      </c>
      <c r="CK61" s="31">
        <v>0</v>
      </c>
      <c r="CL61" s="31">
        <v>0</v>
      </c>
    </row>
    <row r="62" spans="1:90">
      <c r="A62" s="1">
        <f ca="1">OFFSET(A62,0,6*Dashboard!$Q$3,1,1)</f>
        <v>0</v>
      </c>
      <c r="B62" s="1">
        <f ca="1">OFFSET(B62,0,6*Dashboard!$Q$3,1,1)</f>
        <v>21</v>
      </c>
      <c r="C62" s="1">
        <f ca="1">OFFSET(C62,0,6*Dashboard!$Q$3,1,1)</f>
        <v>5</v>
      </c>
      <c r="D62" s="1">
        <f ca="1">OFFSET(D62,0,6*Dashboard!$Q$3,1,1)</f>
        <v>0</v>
      </c>
      <c r="E62" s="1">
        <f ca="1">OFFSET(E62,0,6*Dashboard!$Q$3,1,1)</f>
        <v>0.999</v>
      </c>
      <c r="G62" s="1">
        <v>0</v>
      </c>
      <c r="H62" s="1">
        <v>22</v>
      </c>
      <c r="I62" s="1">
        <v>1</v>
      </c>
      <c r="J62" s="1">
        <v>0</v>
      </c>
      <c r="K62" s="1">
        <v>15.074199999999999</v>
      </c>
      <c r="M62" s="1">
        <v>0</v>
      </c>
      <c r="N62" s="1">
        <v>24</v>
      </c>
      <c r="O62" s="1">
        <v>5</v>
      </c>
      <c r="P62" s="2">
        <v>0</v>
      </c>
      <c r="Q62" s="2">
        <v>53.85</v>
      </c>
      <c r="R62" s="2"/>
      <c r="S62" s="2">
        <v>0</v>
      </c>
      <c r="T62" s="2">
        <v>21</v>
      </c>
      <c r="U62" s="2">
        <v>5</v>
      </c>
      <c r="V62" s="2">
        <v>0</v>
      </c>
      <c r="W62" s="2">
        <v>0.999</v>
      </c>
      <c r="X62" s="3"/>
      <c r="Y62" s="3"/>
      <c r="Z62" s="3"/>
      <c r="CH62" s="31">
        <v>0</v>
      </c>
      <c r="CI62" s="31">
        <v>0</v>
      </c>
      <c r="CJ62" s="31">
        <v>0</v>
      </c>
      <c r="CK62" s="31">
        <v>0</v>
      </c>
      <c r="CL62" s="31">
        <v>0</v>
      </c>
    </row>
    <row r="63" spans="1:90">
      <c r="A63" s="1">
        <f ca="1">OFFSET(A63,0,6*Dashboard!$Q$3,1,1)</f>
        <v>0</v>
      </c>
      <c r="B63" s="1">
        <f ca="1">OFFSET(B63,0,6*Dashboard!$Q$3,1,1)</f>
        <v>21</v>
      </c>
      <c r="C63" s="1">
        <f ca="1">OFFSET(C63,0,6*Dashboard!$Q$3,1,1)</f>
        <v>6</v>
      </c>
      <c r="D63" s="1">
        <f ca="1">OFFSET(D63,0,6*Dashboard!$Q$3,1,1)</f>
        <v>0</v>
      </c>
      <c r="E63" s="1">
        <f ca="1">OFFSET(E63,0,6*Dashboard!$Q$3,1,1)</f>
        <v>1.056</v>
      </c>
      <c r="G63" s="1">
        <v>0</v>
      </c>
      <c r="H63" s="1">
        <v>22</v>
      </c>
      <c r="I63" s="1">
        <v>2</v>
      </c>
      <c r="J63" s="1">
        <v>0</v>
      </c>
      <c r="K63" s="1">
        <v>13.6593</v>
      </c>
      <c r="M63" s="1">
        <v>0</v>
      </c>
      <c r="N63" s="1">
        <v>24</v>
      </c>
      <c r="O63" s="1">
        <v>6</v>
      </c>
      <c r="P63" s="2">
        <v>0</v>
      </c>
      <c r="Q63" s="2">
        <v>53.84</v>
      </c>
      <c r="R63" s="2"/>
      <c r="S63" s="2">
        <v>0</v>
      </c>
      <c r="T63" s="2">
        <v>21</v>
      </c>
      <c r="U63" s="2">
        <v>6</v>
      </c>
      <c r="V63" s="2">
        <v>0</v>
      </c>
      <c r="W63" s="2">
        <v>1.056</v>
      </c>
      <c r="X63" s="3"/>
      <c r="Y63" s="3"/>
      <c r="Z63" s="3"/>
      <c r="CH63" s="31">
        <v>0</v>
      </c>
      <c r="CI63" s="31">
        <v>0</v>
      </c>
      <c r="CJ63" s="31">
        <v>0</v>
      </c>
      <c r="CK63" s="31">
        <v>0</v>
      </c>
      <c r="CL63" s="31">
        <v>0</v>
      </c>
    </row>
    <row r="64" spans="1:90">
      <c r="A64" s="1">
        <f ca="1">OFFSET(A64,0,6*Dashboard!$Q$3,1,1)</f>
        <v>0</v>
      </c>
      <c r="B64" s="1">
        <f ca="1">OFFSET(B64,0,6*Dashboard!$Q$3,1,1)</f>
        <v>21</v>
      </c>
      <c r="C64" s="1">
        <f ca="1">OFFSET(C64,0,6*Dashboard!$Q$3,1,1)</f>
        <v>7</v>
      </c>
      <c r="D64" s="1">
        <f ca="1">OFFSET(D64,0,6*Dashboard!$Q$3,1,1)</f>
        <v>0</v>
      </c>
      <c r="E64" s="1">
        <f ca="1">OFFSET(E64,0,6*Dashboard!$Q$3,1,1)</f>
        <v>0.95</v>
      </c>
      <c r="G64" s="1">
        <v>0</v>
      </c>
      <c r="H64" s="1">
        <v>22</v>
      </c>
      <c r="I64" s="1">
        <v>3</v>
      </c>
      <c r="J64" s="1">
        <v>0</v>
      </c>
      <c r="K64" s="1">
        <v>29.590599999999998</v>
      </c>
      <c r="M64" s="1">
        <v>0</v>
      </c>
      <c r="N64" s="1">
        <v>24</v>
      </c>
      <c r="O64" s="1">
        <v>7</v>
      </c>
      <c r="P64" s="2">
        <v>0</v>
      </c>
      <c r="Q64" s="2">
        <v>57.27</v>
      </c>
      <c r="R64" s="2"/>
      <c r="S64" s="2">
        <v>0</v>
      </c>
      <c r="T64" s="2">
        <v>21</v>
      </c>
      <c r="U64" s="2">
        <v>7</v>
      </c>
      <c r="V64" s="2">
        <v>0</v>
      </c>
      <c r="W64" s="2">
        <v>0.95</v>
      </c>
      <c r="X64" s="3"/>
      <c r="Y64" s="3"/>
      <c r="Z64" s="3"/>
      <c r="CH64" s="31">
        <v>0</v>
      </c>
      <c r="CI64" s="31">
        <v>0</v>
      </c>
      <c r="CJ64" s="31">
        <v>0</v>
      </c>
      <c r="CK64" s="31">
        <v>0</v>
      </c>
      <c r="CL64" s="31">
        <v>0</v>
      </c>
    </row>
    <row r="65" spans="1:90">
      <c r="A65" s="1">
        <f ca="1">OFFSET(A65,0,6*Dashboard!$Q$3,1,1)</f>
        <v>0</v>
      </c>
      <c r="B65" s="1">
        <f ca="1">OFFSET(B65,0,6*Dashboard!$Q$3,1,1)</f>
        <v>21</v>
      </c>
      <c r="C65" s="1">
        <f ca="1">OFFSET(C65,0,6*Dashboard!$Q$3,1,1)</f>
        <v>8</v>
      </c>
      <c r="D65" s="1">
        <f ca="1">OFFSET(D65,0,6*Dashboard!$Q$3,1,1)</f>
        <v>0</v>
      </c>
      <c r="E65" s="1">
        <f ca="1">OFFSET(E65,0,6*Dashboard!$Q$3,1,1)</f>
        <v>0.89200000000000002</v>
      </c>
      <c r="G65" s="1">
        <v>0</v>
      </c>
      <c r="H65" s="1">
        <v>22</v>
      </c>
      <c r="I65" s="1">
        <v>4</v>
      </c>
      <c r="J65" s="1">
        <v>0</v>
      </c>
      <c r="K65" s="1">
        <v>15.1229</v>
      </c>
      <c r="P65" s="2"/>
      <c r="Q65" s="2"/>
      <c r="R65" s="2"/>
      <c r="S65" s="2">
        <v>0</v>
      </c>
      <c r="T65" s="2">
        <v>21</v>
      </c>
      <c r="U65" s="2">
        <v>8</v>
      </c>
      <c r="V65" s="2">
        <v>0</v>
      </c>
      <c r="W65" s="2">
        <v>0.89200000000000002</v>
      </c>
      <c r="X65" s="3"/>
      <c r="Y65" s="3"/>
      <c r="Z65" s="3"/>
      <c r="CH65" s="31">
        <v>0</v>
      </c>
      <c r="CI65" s="31">
        <v>0</v>
      </c>
      <c r="CJ65" s="31">
        <v>0</v>
      </c>
      <c r="CK65" s="31">
        <v>0</v>
      </c>
      <c r="CL65" s="31">
        <v>0</v>
      </c>
    </row>
    <row r="66" spans="1:90">
      <c r="A66" s="1">
        <f ca="1">OFFSET(A66,0,6*Dashboard!$Q$3,1,1)</f>
        <v>0</v>
      </c>
      <c r="B66" s="1">
        <f ca="1">OFFSET(B66,0,6*Dashboard!$Q$3,1,1)</f>
        <v>22</v>
      </c>
      <c r="C66" s="1">
        <f ca="1">OFFSET(C66,0,6*Dashboard!$Q$3,1,1)</f>
        <v>1</v>
      </c>
      <c r="D66" s="1">
        <f ca="1">OFFSET(D66,0,6*Dashboard!$Q$3,1,1)</f>
        <v>0</v>
      </c>
      <c r="E66" s="1">
        <f ca="1">OFFSET(E66,0,6*Dashboard!$Q$3,1,1)</f>
        <v>22.73</v>
      </c>
      <c r="G66" s="1">
        <v>0</v>
      </c>
      <c r="H66" s="1">
        <v>22</v>
      </c>
      <c r="I66" s="1">
        <v>5</v>
      </c>
      <c r="J66" s="1">
        <v>0</v>
      </c>
      <c r="K66" s="1">
        <v>15.5198</v>
      </c>
      <c r="P66" s="2"/>
      <c r="Q66" s="2"/>
      <c r="R66" s="2"/>
      <c r="S66" s="2">
        <v>0</v>
      </c>
      <c r="T66" s="2">
        <v>22</v>
      </c>
      <c r="U66" s="2">
        <v>1</v>
      </c>
      <c r="V66" s="2">
        <v>0</v>
      </c>
      <c r="W66" s="2">
        <v>22.73</v>
      </c>
      <c r="X66" s="3"/>
      <c r="Y66" s="3"/>
      <c r="Z66" s="3"/>
      <c r="CH66" s="31">
        <v>0</v>
      </c>
      <c r="CI66" s="31">
        <v>0</v>
      </c>
      <c r="CJ66" s="31">
        <v>0</v>
      </c>
      <c r="CK66" s="31">
        <v>0</v>
      </c>
      <c r="CL66" s="31">
        <v>0</v>
      </c>
    </row>
    <row r="67" spans="1:90">
      <c r="A67" s="1">
        <f ca="1">OFFSET(A67,0,6*Dashboard!$Q$3,1,1)</f>
        <v>0</v>
      </c>
      <c r="B67" s="1">
        <f ca="1">OFFSET(B67,0,6*Dashboard!$Q$3,1,1)</f>
        <v>22</v>
      </c>
      <c r="C67" s="1">
        <f ca="1">OFFSET(C67,0,6*Dashboard!$Q$3,1,1)</f>
        <v>2</v>
      </c>
      <c r="D67" s="1">
        <f ca="1">OFFSET(D67,0,6*Dashboard!$Q$3,1,1)</f>
        <v>0</v>
      </c>
      <c r="E67" s="1">
        <f ca="1">OFFSET(E67,0,6*Dashboard!$Q$3,1,1)</f>
        <v>25.09</v>
      </c>
      <c r="P67" s="2"/>
      <c r="Q67" s="2"/>
      <c r="R67" s="2"/>
      <c r="S67" s="2">
        <v>0</v>
      </c>
      <c r="T67" s="2">
        <v>22</v>
      </c>
      <c r="U67" s="2">
        <v>2</v>
      </c>
      <c r="V67" s="2">
        <v>0</v>
      </c>
      <c r="W67" s="2">
        <v>25.09</v>
      </c>
      <c r="X67" s="3"/>
      <c r="Y67" s="3"/>
      <c r="Z67" s="3"/>
      <c r="CH67" s="31">
        <v>0</v>
      </c>
      <c r="CI67" s="31">
        <v>0</v>
      </c>
      <c r="CJ67" s="31">
        <v>0</v>
      </c>
      <c r="CK67" s="31">
        <v>0</v>
      </c>
      <c r="CL67" s="31">
        <v>0</v>
      </c>
    </row>
    <row r="68" spans="1:90">
      <c r="A68" s="1">
        <f ca="1">OFFSET(A68,0,6*Dashboard!$Q$3,1,1)</f>
        <v>0</v>
      </c>
      <c r="B68" s="1">
        <f ca="1">OFFSET(B68,0,6*Dashboard!$Q$3,1,1)</f>
        <v>22</v>
      </c>
      <c r="C68" s="1">
        <f ca="1">OFFSET(C68,0,6*Dashboard!$Q$3,1,1)</f>
        <v>3</v>
      </c>
      <c r="D68" s="1">
        <f ca="1">OFFSET(D68,0,6*Dashboard!$Q$3,1,1)</f>
        <v>0</v>
      </c>
      <c r="E68" s="1">
        <f ca="1">OFFSET(E68,0,6*Dashboard!$Q$3,1,1)</f>
        <v>23.21</v>
      </c>
      <c r="P68" s="2"/>
      <c r="Q68" s="2"/>
      <c r="R68" s="2"/>
      <c r="S68" s="2">
        <v>0</v>
      </c>
      <c r="T68" s="2">
        <v>22</v>
      </c>
      <c r="U68" s="2">
        <v>3</v>
      </c>
      <c r="V68" s="2">
        <v>0</v>
      </c>
      <c r="W68" s="2">
        <v>23.21</v>
      </c>
      <c r="X68" s="3"/>
      <c r="Y68" s="3"/>
      <c r="Z68" s="3"/>
      <c r="CH68" s="31">
        <v>0</v>
      </c>
      <c r="CI68" s="31">
        <v>0</v>
      </c>
      <c r="CJ68" s="31">
        <v>0</v>
      </c>
      <c r="CK68" s="31">
        <v>0</v>
      </c>
      <c r="CL68" s="31">
        <v>0</v>
      </c>
    </row>
    <row r="69" spans="1:90">
      <c r="A69" s="1">
        <f ca="1">OFFSET(A69,0,6*Dashboard!$Q$3,1,1)</f>
        <v>0</v>
      </c>
      <c r="B69" s="1">
        <f ca="1">OFFSET(B69,0,6*Dashboard!$Q$3,1,1)</f>
        <v>22</v>
      </c>
      <c r="C69" s="1">
        <f ca="1">OFFSET(C69,0,6*Dashboard!$Q$3,1,1)</f>
        <v>4</v>
      </c>
      <c r="D69" s="1">
        <f ca="1">OFFSET(D69,0,6*Dashboard!$Q$3,1,1)</f>
        <v>0</v>
      </c>
      <c r="E69" s="1">
        <f ca="1">OFFSET(E69,0,6*Dashboard!$Q$3,1,1)</f>
        <v>27.52</v>
      </c>
      <c r="P69" s="2"/>
      <c r="Q69" s="2"/>
      <c r="R69" s="2"/>
      <c r="S69" s="2">
        <v>0</v>
      </c>
      <c r="T69" s="2">
        <v>22</v>
      </c>
      <c r="U69" s="2">
        <v>4</v>
      </c>
      <c r="V69" s="2">
        <v>0</v>
      </c>
      <c r="W69" s="2">
        <v>27.52</v>
      </c>
      <c r="X69" s="3"/>
      <c r="Y69" s="3"/>
      <c r="Z69" s="3"/>
      <c r="CH69" s="31">
        <v>0</v>
      </c>
      <c r="CI69" s="31">
        <v>0</v>
      </c>
      <c r="CJ69" s="31">
        <v>0</v>
      </c>
      <c r="CK69" s="31">
        <v>0</v>
      </c>
      <c r="CL69" s="31">
        <v>0</v>
      </c>
    </row>
    <row r="70" spans="1:90">
      <c r="A70" s="1">
        <f ca="1">OFFSET(A70,0,6*Dashboard!$Q$3,1,1)</f>
        <v>0</v>
      </c>
      <c r="B70" s="1">
        <f ca="1">OFFSET(B70,0,6*Dashboard!$Q$3,1,1)</f>
        <v>22</v>
      </c>
      <c r="C70" s="1">
        <f ca="1">OFFSET(C70,0,6*Dashboard!$Q$3,1,1)</f>
        <v>5</v>
      </c>
      <c r="D70" s="1">
        <f ca="1">OFFSET(D70,0,6*Dashboard!$Q$3,1,1)</f>
        <v>0</v>
      </c>
      <c r="E70" s="1">
        <f ca="1">OFFSET(E70,0,6*Dashboard!$Q$3,1,1)</f>
        <v>29.18</v>
      </c>
      <c r="P70" s="2"/>
      <c r="Q70" s="2"/>
      <c r="R70" s="2"/>
      <c r="S70" s="2">
        <v>0</v>
      </c>
      <c r="T70" s="2">
        <v>22</v>
      </c>
      <c r="U70" s="2">
        <v>5</v>
      </c>
      <c r="V70" s="2">
        <v>0</v>
      </c>
      <c r="W70" s="2">
        <v>29.18</v>
      </c>
      <c r="X70" s="3"/>
      <c r="Y70" s="3"/>
      <c r="Z70" s="3"/>
      <c r="CH70" s="31">
        <v>0</v>
      </c>
      <c r="CI70" s="31">
        <v>0</v>
      </c>
      <c r="CJ70" s="31">
        <v>0</v>
      </c>
      <c r="CK70" s="31">
        <v>0</v>
      </c>
      <c r="CL70" s="31">
        <v>0</v>
      </c>
    </row>
    <row r="71" spans="1:90">
      <c r="A71" s="1">
        <f ca="1">OFFSET(A71,0,6*Dashboard!$Q$3,1,1)</f>
        <v>0</v>
      </c>
      <c r="B71" s="1">
        <f ca="1">OFFSET(B71,0,6*Dashboard!$Q$3,1,1)</f>
        <v>22</v>
      </c>
      <c r="C71" s="1">
        <f ca="1">OFFSET(C71,0,6*Dashboard!$Q$3,1,1)</f>
        <v>6</v>
      </c>
      <c r="D71" s="1">
        <f ca="1">OFFSET(D71,0,6*Dashboard!$Q$3,1,1)</f>
        <v>0</v>
      </c>
      <c r="E71" s="1">
        <f ca="1">OFFSET(E71,0,6*Dashboard!$Q$3,1,1)</f>
        <v>29.18</v>
      </c>
      <c r="P71" s="2"/>
      <c r="Q71" s="2"/>
      <c r="R71" s="2"/>
      <c r="S71" s="2">
        <v>0</v>
      </c>
      <c r="T71" s="2">
        <v>22</v>
      </c>
      <c r="U71" s="2">
        <v>6</v>
      </c>
      <c r="V71" s="2">
        <v>0</v>
      </c>
      <c r="W71" s="2">
        <v>29.18</v>
      </c>
      <c r="X71" s="3"/>
      <c r="Y71" s="3"/>
      <c r="Z71" s="3"/>
      <c r="CH71" s="31">
        <v>0</v>
      </c>
      <c r="CI71" s="31">
        <v>0</v>
      </c>
      <c r="CJ71" s="31">
        <v>0</v>
      </c>
      <c r="CK71" s="31">
        <v>0</v>
      </c>
      <c r="CL71" s="31">
        <v>0</v>
      </c>
    </row>
    <row r="72" spans="1:90">
      <c r="A72" s="1">
        <f ca="1">OFFSET(A72,0,6*Dashboard!$Q$3,1,1)</f>
        <v>0</v>
      </c>
      <c r="B72" s="1">
        <f ca="1">OFFSET(B72,0,6*Dashboard!$Q$3,1,1)</f>
        <v>22</v>
      </c>
      <c r="C72" s="1">
        <f ca="1">OFFSET(C72,0,6*Dashboard!$Q$3,1,1)</f>
        <v>7</v>
      </c>
      <c r="D72" s="1">
        <f ca="1">OFFSET(D72,0,6*Dashboard!$Q$3,1,1)</f>
        <v>0</v>
      </c>
      <c r="E72" s="1">
        <f ca="1">OFFSET(E72,0,6*Dashboard!$Q$3,1,1)</f>
        <v>31.21</v>
      </c>
      <c r="P72" s="2"/>
      <c r="Q72" s="2"/>
      <c r="R72" s="2"/>
      <c r="S72" s="2">
        <v>0</v>
      </c>
      <c r="T72" s="2">
        <v>22</v>
      </c>
      <c r="U72" s="2">
        <v>7</v>
      </c>
      <c r="V72" s="2">
        <v>0</v>
      </c>
      <c r="W72" s="2">
        <v>31.21</v>
      </c>
      <c r="X72" s="3"/>
      <c r="Y72" s="3"/>
      <c r="Z72" s="3"/>
      <c r="CH72" s="31">
        <v>0</v>
      </c>
      <c r="CI72" s="31">
        <v>0</v>
      </c>
      <c r="CJ72" s="31">
        <v>0</v>
      </c>
      <c r="CK72" s="31">
        <v>0</v>
      </c>
      <c r="CL72" s="31">
        <v>0</v>
      </c>
    </row>
    <row r="73" spans="1:90">
      <c r="A73" s="1">
        <f ca="1">OFFSET(A73,0,6*Dashboard!$Q$3,1,1)</f>
        <v>0</v>
      </c>
      <c r="B73" s="1">
        <f ca="1">OFFSET(B73,0,6*Dashboard!$Q$3,1,1)</f>
        <v>22</v>
      </c>
      <c r="C73" s="1">
        <f ca="1">OFFSET(C73,0,6*Dashboard!$Q$3,1,1)</f>
        <v>8</v>
      </c>
      <c r="D73" s="1">
        <f ca="1">OFFSET(D73,0,6*Dashboard!$Q$3,1,1)</f>
        <v>0</v>
      </c>
      <c r="E73" s="1">
        <f ca="1">OFFSET(E73,0,6*Dashboard!$Q$3,1,1)</f>
        <v>47.81</v>
      </c>
      <c r="S73" s="1">
        <v>0</v>
      </c>
      <c r="T73" s="1">
        <v>22</v>
      </c>
      <c r="U73" s="1">
        <v>8</v>
      </c>
      <c r="V73" s="1">
        <v>0</v>
      </c>
      <c r="W73" s="1">
        <v>47.81</v>
      </c>
      <c r="CH73" s="31">
        <v>0</v>
      </c>
      <c r="CI73" s="31">
        <v>0</v>
      </c>
      <c r="CJ73" s="31">
        <v>0</v>
      </c>
      <c r="CK73" s="31">
        <v>0</v>
      </c>
      <c r="CL73" s="31">
        <v>0</v>
      </c>
    </row>
    <row r="74" spans="1:90">
      <c r="A74" s="1">
        <f ca="1">OFFSET(A74,0,6*Dashboard!$Q$3,1,1)</f>
        <v>0</v>
      </c>
      <c r="B74" s="1">
        <f ca="1">OFFSET(B74,0,6*Dashboard!$Q$3,1,1)</f>
        <v>23</v>
      </c>
      <c r="C74" s="1">
        <f ca="1">OFFSET(C74,0,6*Dashboard!$Q$3,1,1)</f>
        <v>1</v>
      </c>
      <c r="D74" s="1">
        <f ca="1">OFFSET(D74,0,6*Dashboard!$Q$3,1,1)</f>
        <v>0</v>
      </c>
      <c r="E74" s="1">
        <f ca="1">OFFSET(E74,0,6*Dashboard!$Q$3,1,1)</f>
        <v>2.0699999999999998</v>
      </c>
      <c r="S74" s="1">
        <v>0</v>
      </c>
      <c r="T74" s="1">
        <v>23</v>
      </c>
      <c r="U74" s="1">
        <v>1</v>
      </c>
      <c r="V74" s="1">
        <v>0</v>
      </c>
      <c r="W74" s="1">
        <v>2.0699999999999998</v>
      </c>
      <c r="CH74" s="31">
        <v>0</v>
      </c>
      <c r="CI74" s="31">
        <v>0</v>
      </c>
      <c r="CJ74" s="31">
        <v>0</v>
      </c>
      <c r="CK74" s="31">
        <v>0</v>
      </c>
      <c r="CL74" s="31">
        <v>0</v>
      </c>
    </row>
    <row r="75" spans="1:90">
      <c r="A75" s="1">
        <f ca="1">OFFSET(A75,0,6*Dashboard!$Q$3,1,1)</f>
        <v>0</v>
      </c>
      <c r="B75" s="1">
        <f ca="1">OFFSET(B75,0,6*Dashboard!$Q$3,1,1)</f>
        <v>23</v>
      </c>
      <c r="C75" s="1">
        <f ca="1">OFFSET(C75,0,6*Dashboard!$Q$3,1,1)</f>
        <v>2</v>
      </c>
      <c r="D75" s="1">
        <f ca="1">OFFSET(D75,0,6*Dashboard!$Q$3,1,1)</f>
        <v>0</v>
      </c>
      <c r="E75" s="1">
        <f ca="1">OFFSET(E75,0,6*Dashboard!$Q$3,1,1)</f>
        <v>2.25</v>
      </c>
      <c r="S75" s="1">
        <v>0</v>
      </c>
      <c r="T75" s="1">
        <v>23</v>
      </c>
      <c r="U75" s="1">
        <v>2</v>
      </c>
      <c r="V75" s="1">
        <v>0</v>
      </c>
      <c r="W75" s="1">
        <v>2.25</v>
      </c>
      <c r="CH75" s="31">
        <v>0</v>
      </c>
      <c r="CI75" s="31">
        <v>0</v>
      </c>
      <c r="CJ75" s="31">
        <v>0</v>
      </c>
      <c r="CK75" s="31">
        <v>0</v>
      </c>
      <c r="CL75" s="31">
        <v>0</v>
      </c>
    </row>
    <row r="76" spans="1:90">
      <c r="A76" s="1">
        <f ca="1">OFFSET(A76,0,6*Dashboard!$Q$3,1,1)</f>
        <v>0</v>
      </c>
      <c r="B76" s="1">
        <f ca="1">OFFSET(B76,0,6*Dashboard!$Q$3,1,1)</f>
        <v>23</v>
      </c>
      <c r="C76" s="1">
        <f ca="1">OFFSET(C76,0,6*Dashboard!$Q$3,1,1)</f>
        <v>3</v>
      </c>
      <c r="D76" s="1">
        <f ca="1">OFFSET(D76,0,6*Dashboard!$Q$3,1,1)</f>
        <v>0</v>
      </c>
      <c r="E76" s="1">
        <f ca="1">OFFSET(E76,0,6*Dashboard!$Q$3,1,1)</f>
        <v>1.81</v>
      </c>
      <c r="S76" s="1">
        <v>0</v>
      </c>
      <c r="T76" s="1">
        <v>23</v>
      </c>
      <c r="U76" s="1">
        <v>3</v>
      </c>
      <c r="V76" s="1">
        <v>0</v>
      </c>
      <c r="W76" s="1">
        <v>1.81</v>
      </c>
      <c r="CH76" s="31">
        <v>0</v>
      </c>
      <c r="CI76" s="31">
        <v>0</v>
      </c>
      <c r="CJ76" s="31">
        <v>0</v>
      </c>
      <c r="CK76" s="31">
        <v>0</v>
      </c>
      <c r="CL76" s="31">
        <v>0</v>
      </c>
    </row>
    <row r="77" spans="1:90">
      <c r="A77" s="1">
        <f ca="1">OFFSET(A77,0,6*Dashboard!$Q$3,1,1)</f>
        <v>0</v>
      </c>
      <c r="B77" s="1">
        <f ca="1">OFFSET(B77,0,6*Dashboard!$Q$3,1,1)</f>
        <v>23</v>
      </c>
      <c r="C77" s="1">
        <f ca="1">OFFSET(C77,0,6*Dashboard!$Q$3,1,1)</f>
        <v>4</v>
      </c>
      <c r="D77" s="1">
        <f ca="1">OFFSET(D77,0,6*Dashboard!$Q$3,1,1)</f>
        <v>0</v>
      </c>
      <c r="E77" s="1">
        <f ca="1">OFFSET(E77,0,6*Dashboard!$Q$3,1,1)</f>
        <v>1.63</v>
      </c>
      <c r="S77" s="1">
        <v>0</v>
      </c>
      <c r="T77" s="1">
        <v>23</v>
      </c>
      <c r="U77" s="1">
        <v>4</v>
      </c>
      <c r="V77" s="1">
        <v>0</v>
      </c>
      <c r="W77" s="1">
        <v>1.63</v>
      </c>
      <c r="CH77" s="31">
        <v>0</v>
      </c>
      <c r="CI77" s="31">
        <v>0</v>
      </c>
      <c r="CJ77" s="31">
        <v>0</v>
      </c>
      <c r="CK77" s="31">
        <v>0</v>
      </c>
      <c r="CL77" s="31">
        <v>0</v>
      </c>
    </row>
    <row r="78" spans="1:90">
      <c r="A78" s="1">
        <f ca="1">OFFSET(A78,0,6*Dashboard!$Q$3,1,1)</f>
        <v>0</v>
      </c>
      <c r="B78" s="1">
        <f ca="1">OFFSET(B78,0,6*Dashboard!$Q$3,1,1)</f>
        <v>23</v>
      </c>
      <c r="C78" s="1">
        <f ca="1">OFFSET(C78,0,6*Dashboard!$Q$3,1,1)</f>
        <v>5</v>
      </c>
      <c r="D78" s="1">
        <f ca="1">OFFSET(D78,0,6*Dashboard!$Q$3,1,1)</f>
        <v>0</v>
      </c>
      <c r="E78" s="1">
        <f ca="1">OFFSET(E78,0,6*Dashboard!$Q$3,1,1)</f>
        <v>1.87</v>
      </c>
      <c r="S78" s="1">
        <v>0</v>
      </c>
      <c r="T78" s="1">
        <v>23</v>
      </c>
      <c r="U78" s="1">
        <v>5</v>
      </c>
      <c r="V78" s="1">
        <v>0</v>
      </c>
      <c r="W78" s="1">
        <v>1.87</v>
      </c>
      <c r="CH78" s="31">
        <v>0</v>
      </c>
      <c r="CI78" s="31">
        <v>0</v>
      </c>
      <c r="CJ78" s="31">
        <v>0</v>
      </c>
      <c r="CK78" s="31">
        <v>0</v>
      </c>
      <c r="CL78" s="31">
        <v>0</v>
      </c>
    </row>
    <row r="79" spans="1:90">
      <c r="A79" s="1">
        <f ca="1">OFFSET(A79,0,6*Dashboard!$Q$3,1,1)</f>
        <v>0</v>
      </c>
      <c r="B79" s="1">
        <f ca="1">OFFSET(B79,0,6*Dashboard!$Q$3,1,1)</f>
        <v>23</v>
      </c>
      <c r="C79" s="1">
        <f ca="1">OFFSET(C79,0,6*Dashboard!$Q$3,1,1)</f>
        <v>6</v>
      </c>
      <c r="D79" s="1">
        <f ca="1">OFFSET(D79,0,6*Dashboard!$Q$3,1,1)</f>
        <v>0</v>
      </c>
      <c r="E79" s="1">
        <f ca="1">OFFSET(E79,0,6*Dashboard!$Q$3,1,1)</f>
        <v>1.86</v>
      </c>
      <c r="S79" s="1">
        <v>0</v>
      </c>
      <c r="T79" s="1">
        <v>23</v>
      </c>
      <c r="U79" s="1">
        <v>6</v>
      </c>
      <c r="V79" s="1">
        <v>0</v>
      </c>
      <c r="W79" s="1">
        <v>1.86</v>
      </c>
      <c r="CH79" s="31">
        <v>0</v>
      </c>
      <c r="CI79" s="31">
        <v>0</v>
      </c>
      <c r="CJ79" s="31">
        <v>0</v>
      </c>
      <c r="CK79" s="31">
        <v>0</v>
      </c>
      <c r="CL79" s="31">
        <v>0</v>
      </c>
    </row>
    <row r="80" spans="1:90">
      <c r="A80" s="1">
        <f ca="1">OFFSET(A80,0,6*Dashboard!$Q$3,1,1)</f>
        <v>0</v>
      </c>
      <c r="B80" s="1">
        <f ca="1">OFFSET(B80,0,6*Dashboard!$Q$3,1,1)</f>
        <v>23</v>
      </c>
      <c r="C80" s="1">
        <f ca="1">OFFSET(C80,0,6*Dashboard!$Q$3,1,1)</f>
        <v>7</v>
      </c>
      <c r="D80" s="1">
        <f ca="1">OFFSET(D80,0,6*Dashboard!$Q$3,1,1)</f>
        <v>0</v>
      </c>
      <c r="E80" s="1">
        <f ca="1">OFFSET(E80,0,6*Dashboard!$Q$3,1,1)</f>
        <v>1.86</v>
      </c>
      <c r="S80" s="1">
        <v>0</v>
      </c>
      <c r="T80" s="1">
        <v>23</v>
      </c>
      <c r="U80" s="1">
        <v>7</v>
      </c>
      <c r="V80" s="1">
        <v>0</v>
      </c>
      <c r="W80" s="1">
        <v>1.86</v>
      </c>
      <c r="CH80" s="31">
        <v>0</v>
      </c>
      <c r="CI80" s="31">
        <v>0</v>
      </c>
      <c r="CJ80" s="31">
        <v>0</v>
      </c>
      <c r="CK80" s="31">
        <v>0</v>
      </c>
      <c r="CL80" s="31">
        <v>0</v>
      </c>
    </row>
    <row r="81" spans="1:90">
      <c r="A81" s="1">
        <f ca="1">OFFSET(A81,0,6*Dashboard!$Q$3,1,1)</f>
        <v>0</v>
      </c>
      <c r="B81" s="1">
        <f ca="1">OFFSET(B81,0,6*Dashboard!$Q$3,1,1)</f>
        <v>23</v>
      </c>
      <c r="C81" s="1">
        <f ca="1">OFFSET(C81,0,6*Dashboard!$Q$3,1,1)</f>
        <v>8</v>
      </c>
      <c r="D81" s="1">
        <f ca="1">OFFSET(D81,0,6*Dashboard!$Q$3,1,1)</f>
        <v>0</v>
      </c>
      <c r="E81" s="1">
        <f ca="1">OFFSET(E81,0,6*Dashboard!$Q$3,1,1)</f>
        <v>1.33</v>
      </c>
      <c r="S81" s="1">
        <v>0</v>
      </c>
      <c r="T81" s="1">
        <v>23</v>
      </c>
      <c r="U81" s="1">
        <v>8</v>
      </c>
      <c r="V81" s="1">
        <v>0</v>
      </c>
      <c r="W81" s="1">
        <v>1.33</v>
      </c>
      <c r="CH81" s="31">
        <v>0</v>
      </c>
      <c r="CI81" s="31">
        <v>0</v>
      </c>
      <c r="CJ81" s="31">
        <v>0</v>
      </c>
      <c r="CK81" s="31">
        <v>0</v>
      </c>
      <c r="CL81" s="31">
        <v>0</v>
      </c>
    </row>
    <row r="82" spans="1:90">
      <c r="A82" s="1">
        <f ca="1">OFFSET(A82,0,6*Dashboard!$Q$3,1,1)</f>
        <v>0</v>
      </c>
      <c r="B82" s="1">
        <f ca="1">OFFSET(B82,0,6*Dashboard!$Q$3,1,1)</f>
        <v>24</v>
      </c>
      <c r="C82" s="1">
        <f ca="1">OFFSET(C82,0,6*Dashboard!$Q$3,1,1)</f>
        <v>1</v>
      </c>
      <c r="D82" s="1">
        <f ca="1">OFFSET(D82,0,6*Dashboard!$Q$3,1,1)</f>
        <v>0</v>
      </c>
      <c r="E82" s="1">
        <f ca="1">OFFSET(E82,0,6*Dashboard!$Q$3,1,1)</f>
        <v>27.86</v>
      </c>
      <c r="S82" s="1">
        <v>0</v>
      </c>
      <c r="T82" s="1">
        <v>24</v>
      </c>
      <c r="U82" s="1">
        <v>1</v>
      </c>
      <c r="V82" s="1">
        <v>0</v>
      </c>
      <c r="W82" s="1">
        <v>27.86</v>
      </c>
      <c r="CH82" s="31">
        <v>0</v>
      </c>
      <c r="CI82" s="31">
        <v>0</v>
      </c>
      <c r="CJ82" s="31">
        <v>0</v>
      </c>
      <c r="CK82" s="31">
        <v>0</v>
      </c>
      <c r="CL82" s="31">
        <v>0</v>
      </c>
    </row>
    <row r="83" spans="1:90">
      <c r="A83" s="1">
        <f ca="1">OFFSET(A83,0,6*Dashboard!$Q$3,1,1)</f>
        <v>0</v>
      </c>
      <c r="B83" s="1">
        <f ca="1">OFFSET(B83,0,6*Dashboard!$Q$3,1,1)</f>
        <v>24</v>
      </c>
      <c r="C83" s="1">
        <f ca="1">OFFSET(C83,0,6*Dashboard!$Q$3,1,1)</f>
        <v>2</v>
      </c>
      <c r="D83" s="1">
        <f ca="1">OFFSET(D83,0,6*Dashboard!$Q$3,1,1)</f>
        <v>0</v>
      </c>
      <c r="E83" s="1">
        <f ca="1">OFFSET(E83,0,6*Dashboard!$Q$3,1,1)</f>
        <v>27.97</v>
      </c>
      <c r="S83" s="1">
        <v>0</v>
      </c>
      <c r="T83" s="1">
        <v>24</v>
      </c>
      <c r="U83" s="1">
        <v>2</v>
      </c>
      <c r="V83" s="1">
        <v>0</v>
      </c>
      <c r="W83" s="1">
        <v>27.97</v>
      </c>
      <c r="CH83" s="31">
        <v>0</v>
      </c>
      <c r="CI83" s="31">
        <v>0</v>
      </c>
      <c r="CJ83" s="31">
        <v>0</v>
      </c>
      <c r="CK83" s="31">
        <v>0</v>
      </c>
      <c r="CL83" s="31">
        <v>0</v>
      </c>
    </row>
    <row r="84" spans="1:90">
      <c r="A84" s="1">
        <f ca="1">OFFSET(A84,0,6*Dashboard!$Q$3,1,1)</f>
        <v>0</v>
      </c>
      <c r="B84" s="1">
        <f ca="1">OFFSET(B84,0,6*Dashboard!$Q$3,1,1)</f>
        <v>24</v>
      </c>
      <c r="C84" s="1">
        <f ca="1">OFFSET(C84,0,6*Dashboard!$Q$3,1,1)</f>
        <v>3</v>
      </c>
      <c r="D84" s="1">
        <f ca="1">OFFSET(D84,0,6*Dashboard!$Q$3,1,1)</f>
        <v>0</v>
      </c>
      <c r="E84" s="1">
        <f ca="1">OFFSET(E84,0,6*Dashboard!$Q$3,1,1)</f>
        <v>43.09</v>
      </c>
      <c r="S84" s="1">
        <v>0</v>
      </c>
      <c r="T84" s="1">
        <v>24</v>
      </c>
      <c r="U84" s="1">
        <v>3</v>
      </c>
      <c r="V84" s="1">
        <v>0</v>
      </c>
      <c r="W84" s="1">
        <v>43.09</v>
      </c>
      <c r="CH84" s="31">
        <v>0</v>
      </c>
      <c r="CI84" s="31">
        <v>0</v>
      </c>
      <c r="CJ84" s="31">
        <v>0</v>
      </c>
      <c r="CK84" s="31">
        <v>0</v>
      </c>
      <c r="CL84" s="31">
        <v>0</v>
      </c>
    </row>
    <row r="85" spans="1:90">
      <c r="A85" s="1">
        <f ca="1">OFFSET(A85,0,6*Dashboard!$Q$3,1,1)</f>
        <v>0</v>
      </c>
      <c r="B85" s="1">
        <f ca="1">OFFSET(B85,0,6*Dashboard!$Q$3,1,1)</f>
        <v>24</v>
      </c>
      <c r="C85" s="1">
        <f ca="1">OFFSET(C85,0,6*Dashboard!$Q$3,1,1)</f>
        <v>4</v>
      </c>
      <c r="D85" s="1">
        <f ca="1">OFFSET(D85,0,6*Dashboard!$Q$3,1,1)</f>
        <v>0</v>
      </c>
      <c r="E85" s="1">
        <f ca="1">OFFSET(E85,0,6*Dashboard!$Q$3,1,1)</f>
        <v>59.71</v>
      </c>
      <c r="S85" s="1">
        <v>0</v>
      </c>
      <c r="T85" s="1">
        <v>24</v>
      </c>
      <c r="U85" s="1">
        <v>4</v>
      </c>
      <c r="V85" s="1">
        <v>0</v>
      </c>
      <c r="W85" s="1">
        <v>59.71</v>
      </c>
      <c r="CH85" s="31">
        <v>0</v>
      </c>
      <c r="CI85" s="31">
        <v>0</v>
      </c>
      <c r="CJ85" s="31">
        <v>0</v>
      </c>
      <c r="CK85" s="31">
        <v>0</v>
      </c>
      <c r="CL85" s="31">
        <v>0</v>
      </c>
    </row>
    <row r="86" spans="1:90">
      <c r="A86" s="1">
        <f ca="1">OFFSET(A86,0,6*Dashboard!$Q$3,1,1)</f>
        <v>0</v>
      </c>
      <c r="B86" s="1">
        <f ca="1">OFFSET(B86,0,6*Dashboard!$Q$3,1,1)</f>
        <v>24</v>
      </c>
      <c r="C86" s="1">
        <f ca="1">OFFSET(C86,0,6*Dashboard!$Q$3,1,1)</f>
        <v>5</v>
      </c>
      <c r="D86" s="1">
        <f ca="1">OFFSET(D86,0,6*Dashboard!$Q$3,1,1)</f>
        <v>0</v>
      </c>
      <c r="E86" s="1">
        <f ca="1">OFFSET(E86,0,6*Dashboard!$Q$3,1,1)</f>
        <v>53.85</v>
      </c>
      <c r="S86" s="1">
        <v>0</v>
      </c>
      <c r="T86" s="1">
        <v>24</v>
      </c>
      <c r="U86" s="1">
        <v>5</v>
      </c>
      <c r="V86" s="1">
        <v>0</v>
      </c>
      <c r="W86" s="1">
        <v>53.85</v>
      </c>
      <c r="CH86" s="31">
        <v>0</v>
      </c>
      <c r="CI86" s="31">
        <v>0</v>
      </c>
      <c r="CJ86" s="31">
        <v>0</v>
      </c>
      <c r="CK86" s="31">
        <v>0</v>
      </c>
      <c r="CL86" s="31">
        <v>0</v>
      </c>
    </row>
    <row r="87" spans="1:90">
      <c r="A87" s="1">
        <f ca="1">OFFSET(A87,0,6*Dashboard!$Q$3,1,1)</f>
        <v>0</v>
      </c>
      <c r="B87" s="1">
        <f ca="1">OFFSET(B87,0,6*Dashboard!$Q$3,1,1)</f>
        <v>24</v>
      </c>
      <c r="C87" s="1">
        <f ca="1">OFFSET(C87,0,6*Dashboard!$Q$3,1,1)</f>
        <v>6</v>
      </c>
      <c r="D87" s="1">
        <f ca="1">OFFSET(D87,0,6*Dashboard!$Q$3,1,1)</f>
        <v>0</v>
      </c>
      <c r="E87" s="1">
        <f ca="1">OFFSET(E87,0,6*Dashboard!$Q$3,1,1)</f>
        <v>53.84</v>
      </c>
      <c r="S87" s="1">
        <v>0</v>
      </c>
      <c r="T87" s="1">
        <v>24</v>
      </c>
      <c r="U87" s="1">
        <v>6</v>
      </c>
      <c r="V87" s="1">
        <v>0</v>
      </c>
      <c r="W87" s="1">
        <v>53.84</v>
      </c>
      <c r="CH87" s="31">
        <v>0</v>
      </c>
      <c r="CI87" s="31">
        <v>0</v>
      </c>
      <c r="CJ87" s="31">
        <v>0</v>
      </c>
      <c r="CK87" s="31">
        <v>0</v>
      </c>
      <c r="CL87" s="31">
        <v>0</v>
      </c>
    </row>
    <row r="88" spans="1:90">
      <c r="A88" s="1">
        <f ca="1">OFFSET(A88,0,6*Dashboard!$Q$3,1,1)</f>
        <v>0</v>
      </c>
      <c r="B88" s="1">
        <f ca="1">OFFSET(B88,0,6*Dashboard!$Q$3,1,1)</f>
        <v>24</v>
      </c>
      <c r="C88" s="1">
        <f ca="1">OFFSET(C88,0,6*Dashboard!$Q$3,1,1)</f>
        <v>7</v>
      </c>
      <c r="D88" s="1">
        <f ca="1">OFFSET(D88,0,6*Dashboard!$Q$3,1,1)</f>
        <v>0</v>
      </c>
      <c r="E88" s="1">
        <f ca="1">OFFSET(E88,0,6*Dashboard!$Q$3,1,1)</f>
        <v>57.27</v>
      </c>
      <c r="S88" s="1">
        <v>0</v>
      </c>
      <c r="T88" s="1">
        <v>24</v>
      </c>
      <c r="U88" s="1">
        <v>7</v>
      </c>
      <c r="V88" s="1">
        <v>0</v>
      </c>
      <c r="W88" s="1">
        <v>57.27</v>
      </c>
      <c r="CH88" s="31">
        <v>0</v>
      </c>
      <c r="CI88" s="31">
        <v>0</v>
      </c>
      <c r="CJ88" s="31">
        <v>0</v>
      </c>
      <c r="CK88" s="31">
        <v>0</v>
      </c>
      <c r="CL88" s="31">
        <v>0</v>
      </c>
    </row>
    <row r="89" spans="1:90">
      <c r="A89" s="1">
        <f ca="1">OFFSET(A89,0,6*Dashboard!$Q$3,1,1)</f>
        <v>0</v>
      </c>
      <c r="B89" s="1">
        <f ca="1">OFFSET(B89,0,6*Dashboard!$Q$3,1,1)</f>
        <v>24</v>
      </c>
      <c r="C89" s="1">
        <f ca="1">OFFSET(C89,0,6*Dashboard!$Q$3,1,1)</f>
        <v>8</v>
      </c>
      <c r="D89" s="1">
        <f ca="1">OFFSET(D89,0,6*Dashboard!$Q$3,1,1)</f>
        <v>0</v>
      </c>
      <c r="E89" s="1">
        <f ca="1">OFFSET(E89,0,6*Dashboard!$Q$3,1,1)</f>
        <v>72.86</v>
      </c>
      <c r="S89" s="1">
        <v>0</v>
      </c>
      <c r="T89" s="1">
        <v>24</v>
      </c>
      <c r="U89" s="1">
        <v>8</v>
      </c>
      <c r="V89" s="1">
        <v>0</v>
      </c>
      <c r="W89" s="1">
        <v>72.86</v>
      </c>
      <c r="CH89" s="31">
        <v>0</v>
      </c>
      <c r="CI89" s="31">
        <v>0</v>
      </c>
      <c r="CJ89" s="31">
        <v>0</v>
      </c>
      <c r="CK89" s="31">
        <v>0</v>
      </c>
      <c r="CL89" s="31">
        <v>0</v>
      </c>
    </row>
    <row r="90" spans="1:90">
      <c r="A90" s="1">
        <f ca="1">OFFSET(A90,0,6*Dashboard!$Q$3,1,1)</f>
        <v>0</v>
      </c>
      <c r="B90" s="1">
        <f ca="1">OFFSET(B90,0,6*Dashboard!$Q$3,1,1)</f>
        <v>0</v>
      </c>
      <c r="C90" s="1">
        <f ca="1">OFFSET(C90,0,6*Dashboard!$Q$3,1,1)</f>
        <v>0</v>
      </c>
      <c r="D90" s="1">
        <f ca="1">OFFSET(D90,0,6*Dashboard!$Q$3,1,1)</f>
        <v>0</v>
      </c>
      <c r="E90" s="1">
        <f ca="1">OFFSET(E90,0,6*Dashboard!$Q$3,1,1)</f>
        <v>0</v>
      </c>
      <c r="CH90" s="31">
        <v>0</v>
      </c>
      <c r="CI90" s="31">
        <v>0</v>
      </c>
      <c r="CJ90" s="31">
        <v>0</v>
      </c>
      <c r="CK90" s="31">
        <v>0</v>
      </c>
      <c r="CL90" s="31">
        <v>0</v>
      </c>
    </row>
    <row r="91" spans="1:90">
      <c r="A91" s="1">
        <f ca="1">OFFSET(A91,0,6*Dashboard!$Q$3,1,1)</f>
        <v>0</v>
      </c>
      <c r="B91" s="1">
        <f ca="1">OFFSET(B91,0,6*Dashboard!$Q$3,1,1)</f>
        <v>0</v>
      </c>
      <c r="C91" s="1">
        <f ca="1">OFFSET(C91,0,6*Dashboard!$Q$3,1,1)</f>
        <v>0</v>
      </c>
      <c r="D91" s="1">
        <f ca="1">OFFSET(D91,0,6*Dashboard!$Q$3,1,1)</f>
        <v>0</v>
      </c>
      <c r="E91" s="1">
        <f ca="1">OFFSET(E91,0,6*Dashboard!$Q$3,1,1)</f>
        <v>0</v>
      </c>
      <c r="CH91" s="31">
        <v>0</v>
      </c>
      <c r="CI91" s="31">
        <v>0</v>
      </c>
      <c r="CJ91" s="31">
        <v>0</v>
      </c>
      <c r="CK91" s="31">
        <v>0</v>
      </c>
      <c r="CL91" s="31">
        <v>0</v>
      </c>
    </row>
    <row r="92" spans="1:90">
      <c r="A92" s="1">
        <f ca="1">OFFSET(A92,0,6*Dashboard!$Q$3,1,1)</f>
        <v>0</v>
      </c>
      <c r="B92" s="1">
        <f ca="1">OFFSET(B92,0,6*Dashboard!$Q$3,1,1)</f>
        <v>0</v>
      </c>
      <c r="C92" s="1">
        <f ca="1">OFFSET(C92,0,6*Dashboard!$Q$3,1,1)</f>
        <v>0</v>
      </c>
      <c r="D92" s="1">
        <f ca="1">OFFSET(D92,0,6*Dashboard!$Q$3,1,1)</f>
        <v>0</v>
      </c>
      <c r="E92" s="1">
        <f ca="1">OFFSET(E92,0,6*Dashboard!$Q$3,1,1)</f>
        <v>0</v>
      </c>
      <c r="CH92" s="31">
        <v>0</v>
      </c>
      <c r="CI92" s="31">
        <v>0</v>
      </c>
      <c r="CJ92" s="31">
        <v>0</v>
      </c>
      <c r="CK92" s="31">
        <v>0</v>
      </c>
      <c r="CL92" s="31">
        <v>0</v>
      </c>
    </row>
    <row r="93" spans="1:90">
      <c r="A93" s="1">
        <f ca="1">OFFSET(A93,0,6*Dashboard!$Q$3,1,1)</f>
        <v>0</v>
      </c>
      <c r="B93" s="1">
        <f ca="1">OFFSET(B93,0,6*Dashboard!$Q$3,1,1)</f>
        <v>0</v>
      </c>
      <c r="C93" s="1">
        <f ca="1">OFFSET(C93,0,6*Dashboard!$Q$3,1,1)</f>
        <v>0</v>
      </c>
      <c r="D93" s="1">
        <f ca="1">OFFSET(D93,0,6*Dashboard!$Q$3,1,1)</f>
        <v>0</v>
      </c>
      <c r="E93" s="1">
        <f ca="1">OFFSET(E93,0,6*Dashboard!$Q$3,1,1)</f>
        <v>0</v>
      </c>
      <c r="CH93" s="31">
        <v>0</v>
      </c>
      <c r="CI93" s="31">
        <v>0</v>
      </c>
      <c r="CJ93" s="31">
        <v>0</v>
      </c>
      <c r="CK93" s="31">
        <v>0</v>
      </c>
      <c r="CL93" s="31">
        <v>0</v>
      </c>
    </row>
    <row r="94" spans="1:90">
      <c r="A94" s="1">
        <f ca="1">OFFSET(A94,0,6*Dashboard!$Q$3,1,1)</f>
        <v>0</v>
      </c>
      <c r="B94" s="1">
        <f ca="1">OFFSET(B94,0,6*Dashboard!$Q$3,1,1)</f>
        <v>0</v>
      </c>
      <c r="C94" s="1">
        <f ca="1">OFFSET(C94,0,6*Dashboard!$Q$3,1,1)</f>
        <v>0</v>
      </c>
      <c r="D94" s="1">
        <f ca="1">OFFSET(D94,0,6*Dashboard!$Q$3,1,1)</f>
        <v>0</v>
      </c>
      <c r="E94" s="1">
        <f ca="1">OFFSET(E94,0,6*Dashboard!$Q$3,1,1)</f>
        <v>0</v>
      </c>
      <c r="CH94" s="31">
        <v>0</v>
      </c>
      <c r="CI94" s="31">
        <v>0</v>
      </c>
      <c r="CJ94" s="31">
        <v>0</v>
      </c>
      <c r="CK94" s="31">
        <v>0</v>
      </c>
      <c r="CL94" s="31">
        <v>0</v>
      </c>
    </row>
    <row r="95" spans="1:90">
      <c r="A95" s="1">
        <f ca="1">OFFSET(A95,0,6*Dashboard!$Q$3,1,1)</f>
        <v>0</v>
      </c>
      <c r="B95" s="1">
        <f ca="1">OFFSET(B95,0,6*Dashboard!$Q$3,1,1)</f>
        <v>0</v>
      </c>
      <c r="C95" s="1">
        <f ca="1">OFFSET(C95,0,6*Dashboard!$Q$3,1,1)</f>
        <v>0</v>
      </c>
      <c r="D95" s="1">
        <f ca="1">OFFSET(D95,0,6*Dashboard!$Q$3,1,1)</f>
        <v>0</v>
      </c>
      <c r="E95" s="1">
        <f ca="1">OFFSET(E95,0,6*Dashboard!$Q$3,1,1)</f>
        <v>0</v>
      </c>
      <c r="CH95" s="31">
        <v>0</v>
      </c>
      <c r="CI95" s="31">
        <v>0</v>
      </c>
      <c r="CJ95" s="31">
        <v>0</v>
      </c>
      <c r="CK95" s="31">
        <v>0</v>
      </c>
      <c r="CL95" s="31">
        <v>0</v>
      </c>
    </row>
    <row r="96" spans="1:90">
      <c r="A96" s="1">
        <f ca="1">OFFSET(A96,0,6*Dashboard!$Q$3,1,1)</f>
        <v>0</v>
      </c>
      <c r="B96" s="1">
        <f ca="1">OFFSET(B96,0,6*Dashboard!$Q$3,1,1)</f>
        <v>0</v>
      </c>
      <c r="C96" s="1">
        <f ca="1">OFFSET(C96,0,6*Dashboard!$Q$3,1,1)</f>
        <v>0</v>
      </c>
      <c r="D96" s="1">
        <f ca="1">OFFSET(D96,0,6*Dashboard!$Q$3,1,1)</f>
        <v>0</v>
      </c>
      <c r="E96" s="1">
        <f ca="1">OFFSET(E96,0,6*Dashboard!$Q$3,1,1)</f>
        <v>0</v>
      </c>
      <c r="CH96" s="31">
        <v>0</v>
      </c>
      <c r="CI96" s="31">
        <v>0</v>
      </c>
      <c r="CJ96" s="31">
        <v>0</v>
      </c>
      <c r="CK96" s="31">
        <v>0</v>
      </c>
      <c r="CL96" s="31">
        <v>0</v>
      </c>
    </row>
    <row r="97" spans="1:90">
      <c r="A97" s="1">
        <f ca="1">OFFSET(A97,0,6*Dashboard!$Q$3,1,1)</f>
        <v>0</v>
      </c>
      <c r="B97" s="1">
        <f ca="1">OFFSET(B97,0,6*Dashboard!$Q$3,1,1)</f>
        <v>0</v>
      </c>
      <c r="C97" s="1">
        <f ca="1">OFFSET(C97,0,6*Dashboard!$Q$3,1,1)</f>
        <v>0</v>
      </c>
      <c r="D97" s="1">
        <f ca="1">OFFSET(D97,0,6*Dashboard!$Q$3,1,1)</f>
        <v>0</v>
      </c>
      <c r="E97" s="1">
        <f ca="1">OFFSET(E97,0,6*Dashboard!$Q$3,1,1)</f>
        <v>0</v>
      </c>
      <c r="CH97" s="31">
        <v>0</v>
      </c>
      <c r="CI97" s="31">
        <v>0</v>
      </c>
      <c r="CJ97" s="31">
        <v>0</v>
      </c>
      <c r="CK97" s="31">
        <v>0</v>
      </c>
      <c r="CL97" s="31">
        <v>0</v>
      </c>
    </row>
    <row r="98" spans="1:90">
      <c r="A98" s="1">
        <f ca="1">OFFSET(A98,0,6*Dashboard!$Q$3,1,1)</f>
        <v>0</v>
      </c>
      <c r="B98" s="1">
        <f ca="1">OFFSET(B98,0,6*Dashboard!$Q$3,1,1)</f>
        <v>0</v>
      </c>
      <c r="C98" s="1">
        <f ca="1">OFFSET(C98,0,6*Dashboard!$Q$3,1,1)</f>
        <v>0</v>
      </c>
      <c r="D98" s="1">
        <f ca="1">OFFSET(D98,0,6*Dashboard!$Q$3,1,1)</f>
        <v>0</v>
      </c>
      <c r="E98" s="1">
        <f ca="1">OFFSET(E98,0,6*Dashboard!$Q$3,1,1)</f>
        <v>0</v>
      </c>
      <c r="CH98" s="31">
        <v>0</v>
      </c>
      <c r="CI98" s="31">
        <v>0</v>
      </c>
      <c r="CJ98" s="31">
        <v>0</v>
      </c>
      <c r="CK98" s="31">
        <v>0</v>
      </c>
      <c r="CL98" s="31">
        <v>0</v>
      </c>
    </row>
    <row r="99" spans="1:90">
      <c r="A99" s="1">
        <f ca="1">OFFSET(A99,0,6*Dashboard!$Q$3,1,1)</f>
        <v>0</v>
      </c>
      <c r="B99" s="1">
        <f ca="1">OFFSET(B99,0,6*Dashboard!$Q$3,1,1)</f>
        <v>0</v>
      </c>
      <c r="C99" s="1">
        <f ca="1">OFFSET(C99,0,6*Dashboard!$Q$3,1,1)</f>
        <v>0</v>
      </c>
      <c r="D99" s="1">
        <f ca="1">OFFSET(D99,0,6*Dashboard!$Q$3,1,1)</f>
        <v>0</v>
      </c>
      <c r="E99" s="1">
        <f ca="1">OFFSET(E99,0,6*Dashboard!$Q$3,1,1)</f>
        <v>0</v>
      </c>
      <c r="CH99" s="31">
        <v>0</v>
      </c>
      <c r="CI99" s="31">
        <v>0</v>
      </c>
      <c r="CJ99" s="31">
        <v>0</v>
      </c>
      <c r="CK99" s="31">
        <v>0</v>
      </c>
      <c r="CL99" s="31">
        <v>0</v>
      </c>
    </row>
    <row r="100" spans="1:90">
      <c r="A100" s="1">
        <f ca="1">OFFSET(A100,0,6*Dashboard!$Q$3,1,1)</f>
        <v>0</v>
      </c>
      <c r="B100" s="1">
        <f ca="1">OFFSET(B100,0,6*Dashboard!$Q$3,1,1)</f>
        <v>0</v>
      </c>
      <c r="C100" s="1">
        <f ca="1">OFFSET(C100,0,6*Dashboard!$Q$3,1,1)</f>
        <v>0</v>
      </c>
      <c r="D100" s="1">
        <f ca="1">OFFSET(D100,0,6*Dashboard!$Q$3,1,1)</f>
        <v>0</v>
      </c>
      <c r="E100" s="1">
        <f ca="1">OFFSET(E100,0,6*Dashboard!$Q$3,1,1)</f>
        <v>0</v>
      </c>
      <c r="CH100" s="31">
        <v>0</v>
      </c>
      <c r="CI100" s="31">
        <v>0</v>
      </c>
      <c r="CJ100" s="31">
        <v>0</v>
      </c>
      <c r="CK100" s="31">
        <v>0</v>
      </c>
      <c r="CL100" s="31">
        <v>0</v>
      </c>
    </row>
    <row r="101" spans="1:90">
      <c r="A101" s="1">
        <f ca="1">OFFSET(A101,0,6*Dashboard!$Q$3,1,1)</f>
        <v>0</v>
      </c>
      <c r="B101" s="1">
        <f ca="1">OFFSET(B101,0,6*Dashboard!$Q$3,1,1)</f>
        <v>0</v>
      </c>
      <c r="C101" s="1">
        <f ca="1">OFFSET(C101,0,6*Dashboard!$Q$3,1,1)</f>
        <v>0</v>
      </c>
      <c r="D101" s="1">
        <f ca="1">OFFSET(D101,0,6*Dashboard!$Q$3,1,1)</f>
        <v>0</v>
      </c>
      <c r="E101" s="1">
        <f ca="1">OFFSET(E101,0,6*Dashboard!$Q$3,1,1)</f>
        <v>0</v>
      </c>
      <c r="CH101" s="31">
        <v>0</v>
      </c>
      <c r="CI101" s="31">
        <v>0</v>
      </c>
      <c r="CJ101" s="31">
        <v>0</v>
      </c>
      <c r="CK101" s="31">
        <v>0</v>
      </c>
      <c r="CL101" s="31">
        <v>0</v>
      </c>
    </row>
    <row r="102" spans="1:90">
      <c r="A102" s="1">
        <f ca="1">OFFSET(A102,0,6*Dashboard!$Q$3,1,1)</f>
        <v>0</v>
      </c>
      <c r="B102" s="1">
        <f ca="1">OFFSET(B102,0,6*Dashboard!$Q$3,1,1)</f>
        <v>0</v>
      </c>
      <c r="C102" s="1">
        <f ca="1">OFFSET(C102,0,6*Dashboard!$Q$3,1,1)</f>
        <v>0</v>
      </c>
      <c r="D102" s="1">
        <f ca="1">OFFSET(D102,0,6*Dashboard!$Q$3,1,1)</f>
        <v>0</v>
      </c>
      <c r="E102" s="1">
        <f ca="1">OFFSET(E102,0,6*Dashboard!$Q$3,1,1)</f>
        <v>0</v>
      </c>
      <c r="CH102" s="31">
        <v>0</v>
      </c>
      <c r="CI102" s="31">
        <v>0</v>
      </c>
      <c r="CJ102" s="31">
        <v>0</v>
      </c>
      <c r="CK102" s="31">
        <v>0</v>
      </c>
      <c r="CL102" s="31">
        <v>0</v>
      </c>
    </row>
    <row r="103" spans="1:90">
      <c r="A103" s="1">
        <f ca="1">OFFSET(A103,0,6*Dashboard!$Q$3,1,1)</f>
        <v>0</v>
      </c>
      <c r="B103" s="1">
        <f ca="1">OFFSET(B103,0,6*Dashboard!$Q$3,1,1)</f>
        <v>0</v>
      </c>
      <c r="C103" s="1">
        <f ca="1">OFFSET(C103,0,6*Dashboard!$Q$3,1,1)</f>
        <v>0</v>
      </c>
      <c r="D103" s="1">
        <f ca="1">OFFSET(D103,0,6*Dashboard!$Q$3,1,1)</f>
        <v>0</v>
      </c>
      <c r="E103" s="1">
        <f ca="1">OFFSET(E103,0,6*Dashboard!$Q$3,1,1)</f>
        <v>0</v>
      </c>
      <c r="CH103" s="31">
        <v>0</v>
      </c>
      <c r="CI103" s="31">
        <v>0</v>
      </c>
      <c r="CJ103" s="31">
        <v>0</v>
      </c>
      <c r="CK103" s="31">
        <v>0</v>
      </c>
      <c r="CL103" s="31">
        <v>0</v>
      </c>
    </row>
    <row r="104" spans="1:90">
      <c r="A104" s="1">
        <f ca="1">OFFSET(A104,0,6*Dashboard!$Q$3,1,1)</f>
        <v>0</v>
      </c>
      <c r="B104" s="1">
        <f ca="1">OFFSET(B104,0,6*Dashboard!$Q$3,1,1)</f>
        <v>0</v>
      </c>
      <c r="C104" s="1">
        <f ca="1">OFFSET(C104,0,6*Dashboard!$Q$3,1,1)</f>
        <v>0</v>
      </c>
      <c r="D104" s="1">
        <f ca="1">OFFSET(D104,0,6*Dashboard!$Q$3,1,1)</f>
        <v>0</v>
      </c>
      <c r="E104" s="1">
        <f ca="1">OFFSET(E104,0,6*Dashboard!$Q$3,1,1)</f>
        <v>0</v>
      </c>
      <c r="CH104" s="31">
        <v>0</v>
      </c>
      <c r="CI104" s="31">
        <v>0</v>
      </c>
      <c r="CJ104" s="31">
        <v>0</v>
      </c>
      <c r="CK104" s="31">
        <v>0</v>
      </c>
      <c r="CL104" s="31">
        <v>0</v>
      </c>
    </row>
    <row r="105" spans="1:90">
      <c r="A105" s="1">
        <f ca="1">OFFSET(A105,0,6*Dashboard!$Q$3,1,1)</f>
        <v>0</v>
      </c>
      <c r="B105" s="1">
        <f ca="1">OFFSET(B105,0,6*Dashboard!$Q$3,1,1)</f>
        <v>0</v>
      </c>
      <c r="C105" s="1">
        <f ca="1">OFFSET(C105,0,6*Dashboard!$Q$3,1,1)</f>
        <v>0</v>
      </c>
      <c r="D105" s="1">
        <f ca="1">OFFSET(D105,0,6*Dashboard!$Q$3,1,1)</f>
        <v>0</v>
      </c>
      <c r="E105" s="1">
        <f ca="1">OFFSET(E105,0,6*Dashboard!$Q$3,1,1)</f>
        <v>0</v>
      </c>
      <c r="CH105" s="31">
        <v>0</v>
      </c>
      <c r="CI105" s="31">
        <v>0</v>
      </c>
      <c r="CJ105" s="31">
        <v>0</v>
      </c>
      <c r="CK105" s="31">
        <v>0</v>
      </c>
      <c r="CL105" s="31">
        <v>0</v>
      </c>
    </row>
    <row r="106" spans="1:90">
      <c r="A106" s="1">
        <f ca="1">OFFSET(A106,0,6*Dashboard!$Q$3,1,1)</f>
        <v>0</v>
      </c>
      <c r="B106" s="1">
        <f ca="1">OFFSET(B106,0,6*Dashboard!$Q$3,1,1)</f>
        <v>0</v>
      </c>
      <c r="C106" s="1">
        <f ca="1">OFFSET(C106,0,6*Dashboard!$Q$3,1,1)</f>
        <v>0</v>
      </c>
      <c r="D106" s="1">
        <f ca="1">OFFSET(D106,0,6*Dashboard!$Q$3,1,1)</f>
        <v>0</v>
      </c>
      <c r="E106" s="1">
        <f ca="1">OFFSET(E106,0,6*Dashboard!$Q$3,1,1)</f>
        <v>0</v>
      </c>
      <c r="CH106" s="31">
        <v>0</v>
      </c>
      <c r="CI106" s="31">
        <v>0</v>
      </c>
      <c r="CJ106" s="31">
        <v>0</v>
      </c>
      <c r="CK106" s="31">
        <v>0</v>
      </c>
      <c r="CL106" s="31">
        <v>0</v>
      </c>
    </row>
    <row r="107" spans="1:90">
      <c r="A107" s="1">
        <f ca="1">OFFSET(A107,0,6*Dashboard!$Q$3,1,1)</f>
        <v>0</v>
      </c>
      <c r="B107" s="1">
        <f ca="1">OFFSET(B107,0,6*Dashboard!$Q$3,1,1)</f>
        <v>0</v>
      </c>
      <c r="C107" s="1">
        <f ca="1">OFFSET(C107,0,6*Dashboard!$Q$3,1,1)</f>
        <v>0</v>
      </c>
      <c r="D107" s="1">
        <f ca="1">OFFSET(D107,0,6*Dashboard!$Q$3,1,1)</f>
        <v>0</v>
      </c>
      <c r="E107" s="1">
        <f ca="1">OFFSET(E107,0,6*Dashboard!$Q$3,1,1)</f>
        <v>0</v>
      </c>
      <c r="CH107" s="31">
        <v>0</v>
      </c>
      <c r="CI107" s="31">
        <v>0</v>
      </c>
      <c r="CJ107" s="31">
        <v>0</v>
      </c>
      <c r="CK107" s="31">
        <v>0</v>
      </c>
      <c r="CL107" s="31">
        <v>0</v>
      </c>
    </row>
    <row r="108" spans="1:90">
      <c r="A108" s="1">
        <f ca="1">OFFSET(A108,0,6*Dashboard!$Q$3,1,1)</f>
        <v>0</v>
      </c>
      <c r="B108" s="1">
        <f ca="1">OFFSET(B108,0,6*Dashboard!$Q$3,1,1)</f>
        <v>0</v>
      </c>
      <c r="C108" s="1">
        <f ca="1">OFFSET(C108,0,6*Dashboard!$Q$3,1,1)</f>
        <v>0</v>
      </c>
      <c r="D108" s="1">
        <f ca="1">OFFSET(D108,0,6*Dashboard!$Q$3,1,1)</f>
        <v>0</v>
      </c>
      <c r="E108" s="1">
        <f ca="1">OFFSET(E108,0,6*Dashboard!$Q$3,1,1)</f>
        <v>0</v>
      </c>
      <c r="CH108" s="31">
        <v>0</v>
      </c>
      <c r="CI108" s="31">
        <v>0</v>
      </c>
      <c r="CJ108" s="31">
        <v>0</v>
      </c>
      <c r="CK108" s="31">
        <v>0</v>
      </c>
      <c r="CL108" s="31">
        <v>0</v>
      </c>
    </row>
    <row r="109" spans="1:90">
      <c r="A109" s="1">
        <f ca="1">OFFSET(A109,0,6*Dashboard!$Q$3,1,1)</f>
        <v>0</v>
      </c>
      <c r="B109" s="1">
        <f ca="1">OFFSET(B109,0,6*Dashboard!$Q$3,1,1)</f>
        <v>0</v>
      </c>
      <c r="C109" s="1">
        <f ca="1">OFFSET(C109,0,6*Dashboard!$Q$3,1,1)</f>
        <v>0</v>
      </c>
      <c r="D109" s="1">
        <f ca="1">OFFSET(D109,0,6*Dashboard!$Q$3,1,1)</f>
        <v>0</v>
      </c>
      <c r="E109" s="1">
        <f ca="1">OFFSET(E109,0,6*Dashboard!$Q$3,1,1)</f>
        <v>0</v>
      </c>
      <c r="CH109" s="31">
        <v>0</v>
      </c>
      <c r="CI109" s="31">
        <v>0</v>
      </c>
      <c r="CJ109" s="31">
        <v>0</v>
      </c>
      <c r="CK109" s="31">
        <v>0</v>
      </c>
      <c r="CL109" s="31">
        <v>0</v>
      </c>
    </row>
    <row r="110" spans="1:90">
      <c r="A110" s="1">
        <f ca="1">OFFSET(A110,0,6*Dashboard!$Q$3,1,1)</f>
        <v>0</v>
      </c>
      <c r="B110" s="1">
        <f ca="1">OFFSET(B110,0,6*Dashboard!$Q$3,1,1)</f>
        <v>0</v>
      </c>
      <c r="C110" s="1">
        <f ca="1">OFFSET(C110,0,6*Dashboard!$Q$3,1,1)</f>
        <v>0</v>
      </c>
      <c r="D110" s="1">
        <f ca="1">OFFSET(D110,0,6*Dashboard!$Q$3,1,1)</f>
        <v>0</v>
      </c>
      <c r="E110" s="1">
        <f ca="1">OFFSET(E110,0,6*Dashboard!$Q$3,1,1)</f>
        <v>0</v>
      </c>
      <c r="CH110" s="31">
        <v>0</v>
      </c>
      <c r="CI110" s="31">
        <v>0</v>
      </c>
      <c r="CJ110" s="31">
        <v>0</v>
      </c>
      <c r="CK110" s="31">
        <v>0</v>
      </c>
      <c r="CL110" s="31">
        <v>0</v>
      </c>
    </row>
    <row r="111" spans="1:90">
      <c r="A111" s="1">
        <f ca="1">OFFSET(A111,0,6*Dashboard!$Q$3,1,1)</f>
        <v>0</v>
      </c>
      <c r="B111" s="1">
        <f ca="1">OFFSET(B111,0,6*Dashboard!$Q$3,1,1)</f>
        <v>0</v>
      </c>
      <c r="C111" s="1">
        <f ca="1">OFFSET(C111,0,6*Dashboard!$Q$3,1,1)</f>
        <v>0</v>
      </c>
      <c r="D111" s="1">
        <f ca="1">OFFSET(D111,0,6*Dashboard!$Q$3,1,1)</f>
        <v>0</v>
      </c>
      <c r="E111" s="1">
        <f ca="1">OFFSET(E111,0,6*Dashboard!$Q$3,1,1)</f>
        <v>0</v>
      </c>
      <c r="CH111" s="31">
        <v>0</v>
      </c>
      <c r="CI111" s="31">
        <v>0</v>
      </c>
      <c r="CJ111" s="31">
        <v>0</v>
      </c>
      <c r="CK111" s="31">
        <v>0</v>
      </c>
      <c r="CL111" s="31">
        <v>0</v>
      </c>
    </row>
    <row r="112" spans="1:90">
      <c r="A112" s="1">
        <f ca="1">OFFSET(A112,0,6*Dashboard!$Q$3,1,1)</f>
        <v>0</v>
      </c>
      <c r="B112" s="1">
        <f ca="1">OFFSET(B112,0,6*Dashboard!$Q$3,1,1)</f>
        <v>0</v>
      </c>
      <c r="C112" s="1">
        <f ca="1">OFFSET(C112,0,6*Dashboard!$Q$3,1,1)</f>
        <v>0</v>
      </c>
      <c r="D112" s="1">
        <f ca="1">OFFSET(D112,0,6*Dashboard!$Q$3,1,1)</f>
        <v>0</v>
      </c>
      <c r="E112" s="1">
        <f ca="1">OFFSET(E112,0,6*Dashboard!$Q$3,1,1)</f>
        <v>0</v>
      </c>
      <c r="CH112" s="31">
        <v>0</v>
      </c>
      <c r="CI112" s="31">
        <v>0</v>
      </c>
      <c r="CJ112" s="31">
        <v>0</v>
      </c>
      <c r="CK112" s="31">
        <v>0</v>
      </c>
      <c r="CL112" s="31">
        <v>0</v>
      </c>
    </row>
    <row r="113" spans="1:90">
      <c r="A113" s="1">
        <f ca="1">OFFSET(A113,0,6*Dashboard!$Q$3,1,1)</f>
        <v>0</v>
      </c>
      <c r="B113" s="1">
        <f ca="1">OFFSET(B113,0,6*Dashboard!$Q$3,1,1)</f>
        <v>0</v>
      </c>
      <c r="C113" s="1">
        <f ca="1">OFFSET(C113,0,6*Dashboard!$Q$3,1,1)</f>
        <v>0</v>
      </c>
      <c r="D113" s="1">
        <f ca="1">OFFSET(D113,0,6*Dashboard!$Q$3,1,1)</f>
        <v>0</v>
      </c>
      <c r="E113" s="1">
        <f ca="1">OFFSET(E113,0,6*Dashboard!$Q$3,1,1)</f>
        <v>0</v>
      </c>
      <c r="CH113" s="31">
        <v>0</v>
      </c>
      <c r="CI113" s="31">
        <v>0</v>
      </c>
      <c r="CJ113" s="31">
        <v>0</v>
      </c>
      <c r="CK113" s="31">
        <v>0</v>
      </c>
      <c r="CL113" s="31">
        <v>0</v>
      </c>
    </row>
    <row r="114" spans="1:90">
      <c r="A114" s="1">
        <f ca="1">OFFSET(A114,0,6*Dashboard!$Q$3,1,1)</f>
        <v>0</v>
      </c>
      <c r="B114" s="1">
        <f ca="1">OFFSET(B114,0,6*Dashboard!$Q$3,1,1)</f>
        <v>0</v>
      </c>
      <c r="C114" s="1">
        <f ca="1">OFFSET(C114,0,6*Dashboard!$Q$3,1,1)</f>
        <v>0</v>
      </c>
      <c r="D114" s="1">
        <f ca="1">OFFSET(D114,0,6*Dashboard!$Q$3,1,1)</f>
        <v>0</v>
      </c>
      <c r="E114" s="1">
        <f ca="1">OFFSET(E114,0,6*Dashboard!$Q$3,1,1)</f>
        <v>0</v>
      </c>
      <c r="CH114" s="31">
        <v>0</v>
      </c>
      <c r="CI114" s="31">
        <v>0</v>
      </c>
      <c r="CJ114" s="31">
        <v>0</v>
      </c>
      <c r="CK114" s="31">
        <v>0</v>
      </c>
      <c r="CL114" s="31">
        <v>0</v>
      </c>
    </row>
    <row r="115" spans="1:90">
      <c r="A115" s="1">
        <f ca="1">OFFSET(A115,0,6*Dashboard!$Q$3,1,1)</f>
        <v>0</v>
      </c>
      <c r="B115" s="1">
        <f ca="1">OFFSET(B115,0,6*Dashboard!$Q$3,1,1)</f>
        <v>0</v>
      </c>
      <c r="C115" s="1">
        <f ca="1">OFFSET(C115,0,6*Dashboard!$Q$3,1,1)</f>
        <v>0</v>
      </c>
      <c r="D115" s="1">
        <f ca="1">OFFSET(D115,0,6*Dashboard!$Q$3,1,1)</f>
        <v>0</v>
      </c>
      <c r="E115" s="1">
        <f ca="1">OFFSET(E115,0,6*Dashboard!$Q$3,1,1)</f>
        <v>0</v>
      </c>
      <c r="CH115" s="31">
        <v>0</v>
      </c>
      <c r="CI115" s="31">
        <v>0</v>
      </c>
      <c r="CJ115" s="31">
        <v>0</v>
      </c>
      <c r="CK115" s="31">
        <v>0</v>
      </c>
      <c r="CL115" s="31">
        <v>0</v>
      </c>
    </row>
    <row r="116" spans="1:90">
      <c r="A116" s="1">
        <f ca="1">OFFSET(A116,0,6*Dashboard!$Q$3,1,1)</f>
        <v>0</v>
      </c>
      <c r="B116" s="1">
        <f ca="1">OFFSET(B116,0,6*Dashboard!$Q$3,1,1)</f>
        <v>0</v>
      </c>
      <c r="C116" s="1">
        <f ca="1">OFFSET(C116,0,6*Dashboard!$Q$3,1,1)</f>
        <v>0</v>
      </c>
      <c r="D116" s="1">
        <f ca="1">OFFSET(D116,0,6*Dashboard!$Q$3,1,1)</f>
        <v>0</v>
      </c>
      <c r="E116" s="1">
        <f ca="1">OFFSET(E116,0,6*Dashboard!$Q$3,1,1)</f>
        <v>0</v>
      </c>
      <c r="CH116" s="31">
        <v>0</v>
      </c>
      <c r="CI116" s="31">
        <v>0</v>
      </c>
      <c r="CJ116" s="31">
        <v>0</v>
      </c>
      <c r="CK116" s="31">
        <v>0</v>
      </c>
      <c r="CL116" s="31">
        <v>0</v>
      </c>
    </row>
    <row r="117" spans="1:90">
      <c r="A117" s="1">
        <f ca="1">OFFSET(A117,0,6*Dashboard!$Q$3,1,1)</f>
        <v>0</v>
      </c>
      <c r="B117" s="1">
        <f ca="1">OFFSET(B117,0,6*Dashboard!$Q$3,1,1)</f>
        <v>0</v>
      </c>
      <c r="C117" s="1">
        <f ca="1">OFFSET(C117,0,6*Dashboard!$Q$3,1,1)</f>
        <v>0</v>
      </c>
      <c r="D117" s="1">
        <f ca="1">OFFSET(D117,0,6*Dashboard!$Q$3,1,1)</f>
        <v>0</v>
      </c>
      <c r="E117" s="1">
        <f ca="1">OFFSET(E117,0,6*Dashboard!$Q$3,1,1)</f>
        <v>0</v>
      </c>
      <c r="CH117" s="31">
        <v>0</v>
      </c>
      <c r="CI117" s="31">
        <v>0</v>
      </c>
      <c r="CJ117" s="31">
        <v>0</v>
      </c>
      <c r="CK117" s="31">
        <v>0</v>
      </c>
      <c r="CL117" s="31">
        <v>0</v>
      </c>
    </row>
    <row r="118" spans="1:90">
      <c r="A118" s="1">
        <f ca="1">OFFSET(A118,0,6*Dashboard!$Q$3,1,1)</f>
        <v>0</v>
      </c>
      <c r="B118" s="1">
        <f ca="1">OFFSET(B118,0,6*Dashboard!$Q$3,1,1)</f>
        <v>0</v>
      </c>
      <c r="C118" s="1">
        <f ca="1">OFFSET(C118,0,6*Dashboard!$Q$3,1,1)</f>
        <v>0</v>
      </c>
      <c r="D118" s="1">
        <f ca="1">OFFSET(D118,0,6*Dashboard!$Q$3,1,1)</f>
        <v>0</v>
      </c>
      <c r="E118" s="1">
        <f ca="1">OFFSET(E118,0,6*Dashboard!$Q$3,1,1)</f>
        <v>0</v>
      </c>
      <c r="CH118" s="31">
        <v>0</v>
      </c>
      <c r="CI118" s="31">
        <v>0</v>
      </c>
      <c r="CJ118" s="31">
        <v>0</v>
      </c>
      <c r="CK118" s="31">
        <v>0</v>
      </c>
      <c r="CL118" s="31">
        <v>0</v>
      </c>
    </row>
    <row r="119" spans="1:90">
      <c r="A119" s="1">
        <f ca="1">OFFSET(A119,0,6*Dashboard!$Q$3,1,1)</f>
        <v>0</v>
      </c>
      <c r="B119" s="1">
        <f ca="1">OFFSET(B119,0,6*Dashboard!$Q$3,1,1)</f>
        <v>0</v>
      </c>
      <c r="C119" s="1">
        <f ca="1">OFFSET(C119,0,6*Dashboard!$Q$3,1,1)</f>
        <v>0</v>
      </c>
      <c r="D119" s="1">
        <f ca="1">OFFSET(D119,0,6*Dashboard!$Q$3,1,1)</f>
        <v>0</v>
      </c>
      <c r="E119" s="1">
        <f ca="1">OFFSET(E119,0,6*Dashboard!$Q$3,1,1)</f>
        <v>0</v>
      </c>
      <c r="CH119" s="31">
        <v>0</v>
      </c>
      <c r="CI119" s="31">
        <v>0</v>
      </c>
      <c r="CJ119" s="31">
        <v>0</v>
      </c>
      <c r="CK119" s="31">
        <v>0</v>
      </c>
      <c r="CL119" s="31">
        <v>0</v>
      </c>
    </row>
    <row r="120" spans="1:90">
      <c r="A120" s="1">
        <f ca="1">OFFSET(A120,0,6*Dashboard!$Q$3,1,1)</f>
        <v>0</v>
      </c>
      <c r="B120" s="1">
        <f ca="1">OFFSET(B120,0,6*Dashboard!$Q$3,1,1)</f>
        <v>0</v>
      </c>
      <c r="C120" s="1">
        <f ca="1">OFFSET(C120,0,6*Dashboard!$Q$3,1,1)</f>
        <v>0</v>
      </c>
      <c r="D120" s="1">
        <f ca="1">OFFSET(D120,0,6*Dashboard!$Q$3,1,1)</f>
        <v>0</v>
      </c>
      <c r="E120" s="1">
        <f ca="1">OFFSET(E120,0,6*Dashboard!$Q$3,1,1)</f>
        <v>0</v>
      </c>
      <c r="CH120" s="31">
        <v>0</v>
      </c>
      <c r="CI120" s="31">
        <v>0</v>
      </c>
      <c r="CJ120" s="31">
        <v>0</v>
      </c>
      <c r="CK120" s="31">
        <v>0</v>
      </c>
      <c r="CL120" s="31">
        <v>0</v>
      </c>
    </row>
    <row r="121" spans="1:90">
      <c r="A121" s="1">
        <f ca="1">OFFSET(A121,0,6*Dashboard!$Q$3,1,1)</f>
        <v>0</v>
      </c>
      <c r="B121" s="1">
        <f ca="1">OFFSET(B121,0,6*Dashboard!$Q$3,1,1)</f>
        <v>0</v>
      </c>
      <c r="C121" s="1">
        <f ca="1">OFFSET(C121,0,6*Dashboard!$Q$3,1,1)</f>
        <v>0</v>
      </c>
      <c r="D121" s="1">
        <f ca="1">OFFSET(D121,0,6*Dashboard!$Q$3,1,1)</f>
        <v>0</v>
      </c>
      <c r="E121" s="1">
        <f ca="1">OFFSET(E121,0,6*Dashboard!$Q$3,1,1)</f>
        <v>0</v>
      </c>
      <c r="CH121" s="31">
        <v>0</v>
      </c>
      <c r="CI121" s="31">
        <v>0</v>
      </c>
      <c r="CJ121" s="31">
        <v>0</v>
      </c>
      <c r="CK121" s="31">
        <v>0</v>
      </c>
      <c r="CL121" s="31">
        <v>0</v>
      </c>
    </row>
    <row r="122" spans="1:90">
      <c r="A122" s="1">
        <f ca="1">OFFSET(A122,0,6*Dashboard!$Q$3,1,1)</f>
        <v>0</v>
      </c>
      <c r="B122" s="1">
        <f ca="1">OFFSET(B122,0,6*Dashboard!$Q$3,1,1)</f>
        <v>0</v>
      </c>
      <c r="C122" s="1">
        <f ca="1">OFFSET(C122,0,6*Dashboard!$Q$3,1,1)</f>
        <v>0</v>
      </c>
      <c r="D122" s="1">
        <f ca="1">OFFSET(D122,0,6*Dashboard!$Q$3,1,1)</f>
        <v>0</v>
      </c>
      <c r="E122" s="1">
        <f ca="1">OFFSET(E122,0,6*Dashboard!$Q$3,1,1)</f>
        <v>0</v>
      </c>
      <c r="CH122" s="31">
        <v>0</v>
      </c>
      <c r="CI122" s="31">
        <v>0</v>
      </c>
      <c r="CJ122" s="31">
        <v>0</v>
      </c>
      <c r="CK122" s="31">
        <v>0</v>
      </c>
      <c r="CL122" s="31">
        <v>0</v>
      </c>
    </row>
    <row r="123" spans="1:90">
      <c r="A123" s="1">
        <f ca="1">OFFSET(A123,0,6*Dashboard!$Q$3,1,1)</f>
        <v>0</v>
      </c>
      <c r="B123" s="1">
        <f ca="1">OFFSET(B123,0,6*Dashboard!$Q$3,1,1)</f>
        <v>0</v>
      </c>
      <c r="C123" s="1">
        <f ca="1">OFFSET(C123,0,6*Dashboard!$Q$3,1,1)</f>
        <v>0</v>
      </c>
      <c r="D123" s="1">
        <f ca="1">OFFSET(D123,0,6*Dashboard!$Q$3,1,1)</f>
        <v>0</v>
      </c>
      <c r="E123" s="1">
        <f ca="1">OFFSET(E123,0,6*Dashboard!$Q$3,1,1)</f>
        <v>0</v>
      </c>
      <c r="CH123" s="31">
        <v>0</v>
      </c>
      <c r="CI123" s="31">
        <v>0</v>
      </c>
      <c r="CJ123" s="31">
        <v>0</v>
      </c>
      <c r="CK123" s="31">
        <v>0</v>
      </c>
      <c r="CL123" s="31">
        <v>0</v>
      </c>
    </row>
    <row r="124" spans="1:90">
      <c r="A124" s="1">
        <f ca="1">OFFSET(A124,0,6*Dashboard!$Q$3,1,1)</f>
        <v>0</v>
      </c>
      <c r="B124" s="1">
        <f ca="1">OFFSET(B124,0,6*Dashboard!$Q$3,1,1)</f>
        <v>0</v>
      </c>
      <c r="C124" s="1">
        <f ca="1">OFFSET(C124,0,6*Dashboard!$Q$3,1,1)</f>
        <v>0</v>
      </c>
      <c r="D124" s="1">
        <f ca="1">OFFSET(D124,0,6*Dashboard!$Q$3,1,1)</f>
        <v>0</v>
      </c>
      <c r="E124" s="1">
        <f ca="1">OFFSET(E124,0,6*Dashboard!$Q$3,1,1)</f>
        <v>0</v>
      </c>
      <c r="CH124" s="31">
        <v>0</v>
      </c>
      <c r="CI124" s="31">
        <v>0</v>
      </c>
      <c r="CJ124" s="31">
        <v>0</v>
      </c>
      <c r="CK124" s="31">
        <v>0</v>
      </c>
      <c r="CL124" s="31">
        <v>0</v>
      </c>
    </row>
    <row r="125" spans="1:90">
      <c r="A125" s="1">
        <f ca="1">OFFSET(A125,0,6*Dashboard!$Q$3,1,1)</f>
        <v>0</v>
      </c>
      <c r="B125" s="1">
        <f ca="1">OFFSET(B125,0,6*Dashboard!$Q$3,1,1)</f>
        <v>0</v>
      </c>
      <c r="C125" s="1">
        <f ca="1">OFFSET(C125,0,6*Dashboard!$Q$3,1,1)</f>
        <v>0</v>
      </c>
      <c r="D125" s="1">
        <f ca="1">OFFSET(D125,0,6*Dashboard!$Q$3,1,1)</f>
        <v>0</v>
      </c>
      <c r="E125" s="1">
        <f ca="1">OFFSET(E125,0,6*Dashboard!$Q$3,1,1)</f>
        <v>0</v>
      </c>
      <c r="CH125" s="31">
        <v>0</v>
      </c>
      <c r="CI125" s="31">
        <v>0</v>
      </c>
      <c r="CJ125" s="31">
        <v>0</v>
      </c>
      <c r="CK125" s="31">
        <v>0</v>
      </c>
      <c r="CL125" s="31">
        <v>0</v>
      </c>
    </row>
    <row r="126" spans="1:90">
      <c r="A126" s="1">
        <f ca="1">OFFSET(A126,0,6*Dashboard!$Q$3,1,1)</f>
        <v>0</v>
      </c>
      <c r="B126" s="1">
        <f ca="1">OFFSET(B126,0,6*Dashboard!$Q$3,1,1)</f>
        <v>0</v>
      </c>
      <c r="C126" s="1">
        <f ca="1">OFFSET(C126,0,6*Dashboard!$Q$3,1,1)</f>
        <v>0</v>
      </c>
      <c r="D126" s="1">
        <f ca="1">OFFSET(D126,0,6*Dashboard!$Q$3,1,1)</f>
        <v>0</v>
      </c>
      <c r="E126" s="1">
        <f ca="1">OFFSET(E126,0,6*Dashboard!$Q$3,1,1)</f>
        <v>0</v>
      </c>
      <c r="CH126" s="31">
        <v>0</v>
      </c>
      <c r="CI126" s="31">
        <v>0</v>
      </c>
      <c r="CJ126" s="31">
        <v>0</v>
      </c>
      <c r="CK126" s="31">
        <v>0</v>
      </c>
      <c r="CL126" s="31">
        <v>0</v>
      </c>
    </row>
    <row r="127" spans="1:90">
      <c r="A127" s="1">
        <f ca="1">OFFSET(A127,0,6*Dashboard!$Q$3,1,1)</f>
        <v>0</v>
      </c>
      <c r="B127" s="1">
        <f ca="1">OFFSET(B127,0,6*Dashboard!$Q$3,1,1)</f>
        <v>0</v>
      </c>
      <c r="C127" s="1">
        <f ca="1">OFFSET(C127,0,6*Dashboard!$Q$3,1,1)</f>
        <v>0</v>
      </c>
      <c r="D127" s="1">
        <f ca="1">OFFSET(D127,0,6*Dashboard!$Q$3,1,1)</f>
        <v>0</v>
      </c>
      <c r="E127" s="1">
        <f ca="1">OFFSET(E127,0,6*Dashboard!$Q$3,1,1)</f>
        <v>0</v>
      </c>
      <c r="CH127" s="31">
        <v>0</v>
      </c>
      <c r="CI127" s="31">
        <v>0</v>
      </c>
      <c r="CJ127" s="31">
        <v>0</v>
      </c>
      <c r="CK127" s="31">
        <v>0</v>
      </c>
      <c r="CL127" s="31">
        <v>0</v>
      </c>
    </row>
    <row r="128" spans="1:90">
      <c r="A128" s="1">
        <f ca="1">OFFSET(A128,0,6*Dashboard!$Q$3,1,1)</f>
        <v>0</v>
      </c>
      <c r="B128" s="1">
        <f ca="1">OFFSET(B128,0,6*Dashboard!$Q$3,1,1)</f>
        <v>0</v>
      </c>
      <c r="C128" s="1">
        <f ca="1">OFFSET(C128,0,6*Dashboard!$Q$3,1,1)</f>
        <v>0</v>
      </c>
      <c r="D128" s="1">
        <f ca="1">OFFSET(D128,0,6*Dashboard!$Q$3,1,1)</f>
        <v>0</v>
      </c>
      <c r="E128" s="1">
        <f ca="1">OFFSET(E128,0,6*Dashboard!$Q$3,1,1)</f>
        <v>0</v>
      </c>
      <c r="CH128" s="31">
        <v>0</v>
      </c>
      <c r="CI128" s="31">
        <v>0</v>
      </c>
      <c r="CJ128" s="31">
        <v>0</v>
      </c>
      <c r="CK128" s="31">
        <v>0</v>
      </c>
      <c r="CL128" s="31">
        <v>0</v>
      </c>
    </row>
    <row r="129" spans="1:90">
      <c r="A129" s="1">
        <f ca="1">OFFSET(A129,0,6*Dashboard!$Q$3,1,1)</f>
        <v>0</v>
      </c>
      <c r="B129" s="1">
        <f ca="1">OFFSET(B129,0,6*Dashboard!$Q$3,1,1)</f>
        <v>0</v>
      </c>
      <c r="C129" s="1">
        <f ca="1">OFFSET(C129,0,6*Dashboard!$Q$3,1,1)</f>
        <v>0</v>
      </c>
      <c r="D129" s="1">
        <f ca="1">OFFSET(D129,0,6*Dashboard!$Q$3,1,1)</f>
        <v>0</v>
      </c>
      <c r="E129" s="1">
        <f ca="1">OFFSET(E129,0,6*Dashboard!$Q$3,1,1)</f>
        <v>0</v>
      </c>
      <c r="CH129" s="31">
        <v>0</v>
      </c>
      <c r="CI129" s="31">
        <v>0</v>
      </c>
      <c r="CJ129" s="31">
        <v>0</v>
      </c>
      <c r="CK129" s="31">
        <v>0</v>
      </c>
      <c r="CL129" s="31">
        <v>0</v>
      </c>
    </row>
    <row r="130" spans="1:90">
      <c r="A130" s="1">
        <f ca="1">OFFSET(A130,0,6*Dashboard!$Q$3,1,1)</f>
        <v>0</v>
      </c>
      <c r="B130" s="1">
        <f ca="1">OFFSET(B130,0,6*Dashboard!$Q$3,1,1)</f>
        <v>0</v>
      </c>
      <c r="C130" s="1">
        <f ca="1">OFFSET(C130,0,6*Dashboard!$Q$3,1,1)</f>
        <v>0</v>
      </c>
      <c r="D130" s="1">
        <f ca="1">OFFSET(D130,0,6*Dashboard!$Q$3,1,1)</f>
        <v>0</v>
      </c>
      <c r="E130" s="1">
        <f ca="1">OFFSET(E130,0,6*Dashboard!$Q$3,1,1)</f>
        <v>0</v>
      </c>
      <c r="CH130" s="31">
        <v>0</v>
      </c>
      <c r="CI130" s="31">
        <v>0</v>
      </c>
      <c r="CJ130" s="31">
        <v>0</v>
      </c>
      <c r="CK130" s="31">
        <v>0</v>
      </c>
      <c r="CL130" s="31">
        <v>0</v>
      </c>
    </row>
    <row r="131" spans="1:90">
      <c r="A131" s="1">
        <f ca="1">OFFSET(A131,0,6*Dashboard!$Q$3,1,1)</f>
        <v>0</v>
      </c>
      <c r="B131" s="1">
        <f ca="1">OFFSET(B131,0,6*Dashboard!$Q$3,1,1)</f>
        <v>0</v>
      </c>
      <c r="C131" s="1">
        <f ca="1">OFFSET(C131,0,6*Dashboard!$Q$3,1,1)</f>
        <v>0</v>
      </c>
      <c r="D131" s="1">
        <f ca="1">OFFSET(D131,0,6*Dashboard!$Q$3,1,1)</f>
        <v>0</v>
      </c>
      <c r="E131" s="1">
        <f ca="1">OFFSET(E131,0,6*Dashboard!$Q$3,1,1)</f>
        <v>0</v>
      </c>
      <c r="CH131" s="31">
        <v>0</v>
      </c>
      <c r="CI131" s="31">
        <v>0</v>
      </c>
      <c r="CJ131" s="31">
        <v>0</v>
      </c>
      <c r="CK131" s="31">
        <v>0</v>
      </c>
      <c r="CL131" s="31">
        <v>0</v>
      </c>
    </row>
    <row r="132" spans="1:90">
      <c r="A132" s="1">
        <f ca="1">OFFSET(A132,0,6*Dashboard!$Q$3,1,1)</f>
        <v>0</v>
      </c>
      <c r="B132" s="1">
        <f ca="1">OFFSET(B132,0,6*Dashboard!$Q$3,1,1)</f>
        <v>0</v>
      </c>
      <c r="C132" s="1">
        <f ca="1">OFFSET(C132,0,6*Dashboard!$Q$3,1,1)</f>
        <v>0</v>
      </c>
      <c r="D132" s="1">
        <f ca="1">OFFSET(D132,0,6*Dashboard!$Q$3,1,1)</f>
        <v>0</v>
      </c>
      <c r="E132" s="1">
        <f ca="1">OFFSET(E132,0,6*Dashboard!$Q$3,1,1)</f>
        <v>0</v>
      </c>
      <c r="CH132" s="31">
        <v>0</v>
      </c>
      <c r="CI132" s="31">
        <v>0</v>
      </c>
      <c r="CJ132" s="31">
        <v>0</v>
      </c>
      <c r="CK132" s="31">
        <v>0</v>
      </c>
      <c r="CL132" s="31">
        <v>0</v>
      </c>
    </row>
    <row r="133" spans="1:90">
      <c r="A133" s="1">
        <f ca="1">OFFSET(A133,0,6*Dashboard!$Q$3,1,1)</f>
        <v>0</v>
      </c>
      <c r="B133" s="1">
        <f ca="1">OFFSET(B133,0,6*Dashboard!$Q$3,1,1)</f>
        <v>0</v>
      </c>
      <c r="C133" s="1">
        <f ca="1">OFFSET(C133,0,6*Dashboard!$Q$3,1,1)</f>
        <v>0</v>
      </c>
      <c r="D133" s="1">
        <f ca="1">OFFSET(D133,0,6*Dashboard!$Q$3,1,1)</f>
        <v>0</v>
      </c>
      <c r="E133" s="1">
        <f ca="1">OFFSET(E133,0,6*Dashboard!$Q$3,1,1)</f>
        <v>0</v>
      </c>
      <c r="CH133" s="31">
        <v>0</v>
      </c>
      <c r="CI133" s="31">
        <v>0</v>
      </c>
      <c r="CJ133" s="31">
        <v>0</v>
      </c>
      <c r="CK133" s="31">
        <v>0</v>
      </c>
      <c r="CL133" s="31">
        <v>0</v>
      </c>
    </row>
    <row r="134" spans="1:90">
      <c r="A134" s="1">
        <f ca="1">OFFSET(A134,0,6*Dashboard!$Q$3,1,1)</f>
        <v>0</v>
      </c>
      <c r="B134" s="1">
        <f ca="1">OFFSET(B134,0,6*Dashboard!$Q$3,1,1)</f>
        <v>0</v>
      </c>
      <c r="C134" s="1">
        <f ca="1">OFFSET(C134,0,6*Dashboard!$Q$3,1,1)</f>
        <v>0</v>
      </c>
      <c r="D134" s="1">
        <f ca="1">OFFSET(D134,0,6*Dashboard!$Q$3,1,1)</f>
        <v>0</v>
      </c>
      <c r="E134" s="1">
        <f ca="1">OFFSET(E134,0,6*Dashboard!$Q$3,1,1)</f>
        <v>0</v>
      </c>
      <c r="CH134" s="31">
        <v>0</v>
      </c>
      <c r="CI134" s="31">
        <v>0</v>
      </c>
      <c r="CJ134" s="31">
        <v>0</v>
      </c>
      <c r="CK134" s="31">
        <v>0</v>
      </c>
      <c r="CL134" s="31">
        <v>0</v>
      </c>
    </row>
    <row r="135" spans="1:90">
      <c r="A135" s="1">
        <f ca="1">OFFSET(A135,0,6*Dashboard!$Q$3,1,1)</f>
        <v>0</v>
      </c>
      <c r="B135" s="1">
        <f ca="1">OFFSET(B135,0,6*Dashboard!$Q$3,1,1)</f>
        <v>0</v>
      </c>
      <c r="C135" s="1">
        <f ca="1">OFFSET(C135,0,6*Dashboard!$Q$3,1,1)</f>
        <v>0</v>
      </c>
      <c r="D135" s="1">
        <f ca="1">OFFSET(D135,0,6*Dashboard!$Q$3,1,1)</f>
        <v>0</v>
      </c>
      <c r="E135" s="1">
        <f ca="1">OFFSET(E135,0,6*Dashboard!$Q$3,1,1)</f>
        <v>0</v>
      </c>
      <c r="CH135" s="31">
        <v>0</v>
      </c>
      <c r="CI135" s="31">
        <v>0</v>
      </c>
      <c r="CJ135" s="31">
        <v>0</v>
      </c>
      <c r="CK135" s="31">
        <v>0</v>
      </c>
      <c r="CL135" s="31">
        <v>0</v>
      </c>
    </row>
    <row r="136" spans="1:90">
      <c r="A136" s="1">
        <f ca="1">OFFSET(A136,0,6*Dashboard!$Q$3,1,1)</f>
        <v>0</v>
      </c>
      <c r="B136" s="1">
        <f ca="1">OFFSET(B136,0,6*Dashboard!$Q$3,1,1)</f>
        <v>0</v>
      </c>
      <c r="C136" s="1">
        <f ca="1">OFFSET(C136,0,6*Dashboard!$Q$3,1,1)</f>
        <v>0</v>
      </c>
      <c r="D136" s="1">
        <f ca="1">OFFSET(D136,0,6*Dashboard!$Q$3,1,1)</f>
        <v>0</v>
      </c>
      <c r="E136" s="1">
        <f ca="1">OFFSET(E136,0,6*Dashboard!$Q$3,1,1)</f>
        <v>0</v>
      </c>
      <c r="CH136" s="31">
        <v>0</v>
      </c>
      <c r="CI136" s="31">
        <v>0</v>
      </c>
      <c r="CJ136" s="31">
        <v>0</v>
      </c>
      <c r="CK136" s="31">
        <v>0</v>
      </c>
      <c r="CL136" s="31">
        <v>0</v>
      </c>
    </row>
    <row r="137" spans="1:90">
      <c r="A137" s="1">
        <f ca="1">OFFSET(A137,0,6*Dashboard!$Q$3,1,1)</f>
        <v>0</v>
      </c>
      <c r="B137" s="1">
        <f ca="1">OFFSET(B137,0,6*Dashboard!$Q$3,1,1)</f>
        <v>0</v>
      </c>
      <c r="C137" s="1">
        <f ca="1">OFFSET(C137,0,6*Dashboard!$Q$3,1,1)</f>
        <v>0</v>
      </c>
      <c r="D137" s="1">
        <f ca="1">OFFSET(D137,0,6*Dashboard!$Q$3,1,1)</f>
        <v>0</v>
      </c>
      <c r="E137" s="1">
        <f ca="1">OFFSET(E137,0,6*Dashboard!$Q$3,1,1)</f>
        <v>0</v>
      </c>
      <c r="CH137" s="31">
        <v>0</v>
      </c>
      <c r="CI137" s="31">
        <v>0</v>
      </c>
      <c r="CJ137" s="31">
        <v>0</v>
      </c>
      <c r="CK137" s="31">
        <v>0</v>
      </c>
      <c r="CL137" s="31">
        <v>0</v>
      </c>
    </row>
    <row r="138" spans="1:90">
      <c r="A138" s="1">
        <f ca="1">OFFSET(A138,0,6*Dashboard!$Q$3,1,1)</f>
        <v>0</v>
      </c>
      <c r="B138" s="1">
        <f ca="1">OFFSET(B138,0,6*Dashboard!$Q$3,1,1)</f>
        <v>0</v>
      </c>
      <c r="C138" s="1">
        <f ca="1">OFFSET(C138,0,6*Dashboard!$Q$3,1,1)</f>
        <v>0</v>
      </c>
      <c r="D138" s="1">
        <f ca="1">OFFSET(D138,0,6*Dashboard!$Q$3,1,1)</f>
        <v>0</v>
      </c>
      <c r="E138" s="1">
        <f ca="1">OFFSET(E138,0,6*Dashboard!$Q$3,1,1)</f>
        <v>0</v>
      </c>
      <c r="CH138" s="31">
        <v>0</v>
      </c>
      <c r="CI138" s="31">
        <v>0</v>
      </c>
      <c r="CJ138" s="31">
        <v>0</v>
      </c>
      <c r="CK138" s="31">
        <v>0</v>
      </c>
      <c r="CL138" s="31">
        <v>0</v>
      </c>
    </row>
    <row r="139" spans="1:90">
      <c r="A139" s="1">
        <f ca="1">OFFSET(A139,0,6*Dashboard!$Q$3,1,1)</f>
        <v>0</v>
      </c>
      <c r="B139" s="1">
        <f ca="1">OFFSET(B139,0,6*Dashboard!$Q$3,1,1)</f>
        <v>0</v>
      </c>
      <c r="C139" s="1">
        <f ca="1">OFFSET(C139,0,6*Dashboard!$Q$3,1,1)</f>
        <v>0</v>
      </c>
      <c r="D139" s="1">
        <f ca="1">OFFSET(D139,0,6*Dashboard!$Q$3,1,1)</f>
        <v>0</v>
      </c>
      <c r="E139" s="1">
        <f ca="1">OFFSET(E139,0,6*Dashboard!$Q$3,1,1)</f>
        <v>0</v>
      </c>
      <c r="CH139" s="31">
        <v>0</v>
      </c>
      <c r="CI139" s="31">
        <v>0</v>
      </c>
      <c r="CJ139" s="31">
        <v>0</v>
      </c>
      <c r="CK139" s="31">
        <v>0</v>
      </c>
      <c r="CL139" s="31">
        <v>0</v>
      </c>
    </row>
    <row r="140" spans="1:90">
      <c r="A140" s="1">
        <f ca="1">OFFSET(A140,0,6*Dashboard!$Q$3,1,1)</f>
        <v>0</v>
      </c>
      <c r="B140" s="1">
        <f ca="1">OFFSET(B140,0,6*Dashboard!$Q$3,1,1)</f>
        <v>0</v>
      </c>
      <c r="C140" s="1">
        <f ca="1">OFFSET(C140,0,6*Dashboard!$Q$3,1,1)</f>
        <v>0</v>
      </c>
      <c r="D140" s="1">
        <f ca="1">OFFSET(D140,0,6*Dashboard!$Q$3,1,1)</f>
        <v>0</v>
      </c>
      <c r="E140" s="1">
        <f ca="1">OFFSET(E140,0,6*Dashboard!$Q$3,1,1)</f>
        <v>0</v>
      </c>
      <c r="CH140" s="31">
        <v>0</v>
      </c>
      <c r="CI140" s="31">
        <v>0</v>
      </c>
      <c r="CJ140" s="31">
        <v>0</v>
      </c>
      <c r="CK140" s="31">
        <v>0</v>
      </c>
      <c r="CL140" s="31">
        <v>0</v>
      </c>
    </row>
    <row r="141" spans="1:90">
      <c r="A141" s="1">
        <f ca="1">OFFSET(A141,0,6*Dashboard!$Q$3,1,1)</f>
        <v>0</v>
      </c>
      <c r="B141" s="1">
        <f ca="1">OFFSET(B141,0,6*Dashboard!$Q$3,1,1)</f>
        <v>0</v>
      </c>
      <c r="C141" s="1">
        <f ca="1">OFFSET(C141,0,6*Dashboard!$Q$3,1,1)</f>
        <v>0</v>
      </c>
      <c r="D141" s="1">
        <f ca="1">OFFSET(D141,0,6*Dashboard!$Q$3,1,1)</f>
        <v>0</v>
      </c>
      <c r="E141" s="1">
        <f ca="1">OFFSET(E141,0,6*Dashboard!$Q$3,1,1)</f>
        <v>0</v>
      </c>
      <c r="CH141" s="31">
        <v>0</v>
      </c>
      <c r="CI141" s="31">
        <v>0</v>
      </c>
      <c r="CJ141" s="31">
        <v>0</v>
      </c>
      <c r="CK141" s="31">
        <v>0</v>
      </c>
      <c r="CL141" s="31">
        <v>0</v>
      </c>
    </row>
    <row r="142" spans="1:90">
      <c r="A142" s="1">
        <f ca="1">OFFSET(A142,0,6*Dashboard!$Q$3,1,1)</f>
        <v>0</v>
      </c>
      <c r="B142" s="1">
        <f ca="1">OFFSET(B142,0,6*Dashboard!$Q$3,1,1)</f>
        <v>0</v>
      </c>
      <c r="C142" s="1">
        <f ca="1">OFFSET(C142,0,6*Dashboard!$Q$3,1,1)</f>
        <v>0</v>
      </c>
      <c r="D142" s="1">
        <f ca="1">OFFSET(D142,0,6*Dashboard!$Q$3,1,1)</f>
        <v>0</v>
      </c>
      <c r="E142" s="1">
        <f ca="1">OFFSET(E142,0,6*Dashboard!$Q$3,1,1)</f>
        <v>0</v>
      </c>
      <c r="CH142" s="31">
        <v>0</v>
      </c>
      <c r="CI142" s="31">
        <v>0</v>
      </c>
      <c r="CJ142" s="31">
        <v>0</v>
      </c>
      <c r="CK142" s="31">
        <v>0</v>
      </c>
      <c r="CL142" s="31">
        <v>0</v>
      </c>
    </row>
    <row r="143" spans="1:90">
      <c r="A143" s="1">
        <f ca="1">OFFSET(A143,0,6*Dashboard!$Q$3,1,1)</f>
        <v>0</v>
      </c>
      <c r="B143" s="1">
        <f ca="1">OFFSET(B143,0,6*Dashboard!$Q$3,1,1)</f>
        <v>0</v>
      </c>
      <c r="C143" s="1">
        <f ca="1">OFFSET(C143,0,6*Dashboard!$Q$3,1,1)</f>
        <v>0</v>
      </c>
      <c r="D143" s="1">
        <f ca="1">OFFSET(D143,0,6*Dashboard!$Q$3,1,1)</f>
        <v>0</v>
      </c>
      <c r="E143" s="1">
        <f ca="1">OFFSET(E143,0,6*Dashboard!$Q$3,1,1)</f>
        <v>0</v>
      </c>
      <c r="CH143" s="31">
        <v>0</v>
      </c>
      <c r="CI143" s="31">
        <v>0</v>
      </c>
      <c r="CJ143" s="31">
        <v>0</v>
      </c>
      <c r="CK143" s="31">
        <v>0</v>
      </c>
      <c r="CL143" s="31">
        <v>0</v>
      </c>
    </row>
    <row r="144" spans="1:90">
      <c r="A144" s="1">
        <f ca="1">OFFSET(A144,0,6*Dashboard!$Q$3,1,1)</f>
        <v>0</v>
      </c>
      <c r="B144" s="1">
        <f ca="1">OFFSET(B144,0,6*Dashboard!$Q$3,1,1)</f>
        <v>0</v>
      </c>
      <c r="C144" s="1">
        <f ca="1">OFFSET(C144,0,6*Dashboard!$Q$3,1,1)</f>
        <v>0</v>
      </c>
      <c r="D144" s="1">
        <f ca="1">OFFSET(D144,0,6*Dashboard!$Q$3,1,1)</f>
        <v>0</v>
      </c>
      <c r="E144" s="1">
        <f ca="1">OFFSET(E144,0,6*Dashboard!$Q$3,1,1)</f>
        <v>0</v>
      </c>
      <c r="CH144" s="31">
        <v>0</v>
      </c>
      <c r="CI144" s="31">
        <v>0</v>
      </c>
      <c r="CJ144" s="31">
        <v>0</v>
      </c>
      <c r="CK144" s="31">
        <v>0</v>
      </c>
      <c r="CL144" s="31">
        <v>0</v>
      </c>
    </row>
    <row r="145" spans="1:90">
      <c r="A145" s="1">
        <f ca="1">OFFSET(A145,0,6*Dashboard!$Q$3,1,1)</f>
        <v>0</v>
      </c>
      <c r="B145" s="1">
        <f ca="1">OFFSET(B145,0,6*Dashboard!$Q$3,1,1)</f>
        <v>0</v>
      </c>
      <c r="C145" s="1">
        <f ca="1">OFFSET(C145,0,6*Dashboard!$Q$3,1,1)</f>
        <v>0</v>
      </c>
      <c r="D145" s="1">
        <f ca="1">OFFSET(D145,0,6*Dashboard!$Q$3,1,1)</f>
        <v>0</v>
      </c>
      <c r="E145" s="1">
        <f ca="1">OFFSET(E145,0,6*Dashboard!$Q$3,1,1)</f>
        <v>0</v>
      </c>
      <c r="CH145" s="31">
        <v>0</v>
      </c>
      <c r="CI145" s="31">
        <v>0</v>
      </c>
      <c r="CJ145" s="31">
        <v>0</v>
      </c>
      <c r="CK145" s="31">
        <v>0</v>
      </c>
      <c r="CL145" s="31">
        <v>0</v>
      </c>
    </row>
    <row r="146" spans="1:90">
      <c r="A146" s="1">
        <f ca="1">OFFSET(A146,0,6*Dashboard!$Q$3,1,1)</f>
        <v>0</v>
      </c>
      <c r="B146" s="1">
        <f ca="1">OFFSET(B146,0,6*Dashboard!$Q$3,1,1)</f>
        <v>0</v>
      </c>
      <c r="C146" s="1">
        <f ca="1">OFFSET(C146,0,6*Dashboard!$Q$3,1,1)</f>
        <v>0</v>
      </c>
      <c r="D146" s="1">
        <f ca="1">OFFSET(D146,0,6*Dashboard!$Q$3,1,1)</f>
        <v>0</v>
      </c>
      <c r="E146" s="1">
        <f ca="1">OFFSET(E146,0,6*Dashboard!$Q$3,1,1)</f>
        <v>0</v>
      </c>
      <c r="CH146" s="31">
        <v>0</v>
      </c>
      <c r="CI146" s="31">
        <v>0</v>
      </c>
      <c r="CJ146" s="31">
        <v>0</v>
      </c>
      <c r="CK146" s="31">
        <v>0</v>
      </c>
      <c r="CL146" s="31">
        <v>0</v>
      </c>
    </row>
    <row r="147" spans="1:90">
      <c r="A147" s="1">
        <f ca="1">OFFSET(A147,0,6*Dashboard!$Q$3,1,1)</f>
        <v>0</v>
      </c>
      <c r="B147" s="1">
        <f ca="1">OFFSET(B147,0,6*Dashboard!$Q$3,1,1)</f>
        <v>0</v>
      </c>
      <c r="C147" s="1">
        <f ca="1">OFFSET(C147,0,6*Dashboard!$Q$3,1,1)</f>
        <v>0</v>
      </c>
      <c r="D147" s="1">
        <f ca="1">OFFSET(D147,0,6*Dashboard!$Q$3,1,1)</f>
        <v>0</v>
      </c>
      <c r="E147" s="1">
        <f ca="1">OFFSET(E147,0,6*Dashboard!$Q$3,1,1)</f>
        <v>0</v>
      </c>
      <c r="CH147" s="31">
        <v>0</v>
      </c>
      <c r="CI147" s="31">
        <v>0</v>
      </c>
      <c r="CJ147" s="31">
        <v>0</v>
      </c>
      <c r="CK147" s="31">
        <v>0</v>
      </c>
      <c r="CL147" s="31">
        <v>0</v>
      </c>
    </row>
    <row r="148" spans="1:90">
      <c r="A148" s="1">
        <f ca="1">OFFSET(A148,0,6*Dashboard!$Q$3,1,1)</f>
        <v>0</v>
      </c>
      <c r="B148" s="1">
        <f ca="1">OFFSET(B148,0,6*Dashboard!$Q$3,1,1)</f>
        <v>0</v>
      </c>
      <c r="C148" s="1">
        <f ca="1">OFFSET(C148,0,6*Dashboard!$Q$3,1,1)</f>
        <v>0</v>
      </c>
      <c r="D148" s="1">
        <f ca="1">OFFSET(D148,0,6*Dashboard!$Q$3,1,1)</f>
        <v>0</v>
      </c>
      <c r="E148" s="1">
        <f ca="1">OFFSET(E148,0,6*Dashboard!$Q$3,1,1)</f>
        <v>0</v>
      </c>
      <c r="CH148" s="31">
        <v>0</v>
      </c>
      <c r="CI148" s="31">
        <v>0</v>
      </c>
      <c r="CJ148" s="31">
        <v>0</v>
      </c>
      <c r="CK148" s="31">
        <v>0</v>
      </c>
      <c r="CL148" s="31">
        <v>0</v>
      </c>
    </row>
    <row r="149" spans="1:90">
      <c r="A149" s="1">
        <f ca="1">OFFSET(A149,0,6*Dashboard!$Q$3,1,1)</f>
        <v>0</v>
      </c>
      <c r="B149" s="1">
        <f ca="1">OFFSET(B149,0,6*Dashboard!$Q$3,1,1)</f>
        <v>0</v>
      </c>
      <c r="C149" s="1">
        <f ca="1">OFFSET(C149,0,6*Dashboard!$Q$3,1,1)</f>
        <v>0</v>
      </c>
      <c r="D149" s="1">
        <f ca="1">OFFSET(D149,0,6*Dashboard!$Q$3,1,1)</f>
        <v>0</v>
      </c>
      <c r="E149" s="1">
        <f ca="1">OFFSET(E149,0,6*Dashboard!$Q$3,1,1)</f>
        <v>0</v>
      </c>
      <c r="CH149" s="31">
        <v>0</v>
      </c>
      <c r="CI149" s="31">
        <v>0</v>
      </c>
      <c r="CJ149" s="31">
        <v>0</v>
      </c>
      <c r="CK149" s="31">
        <v>0</v>
      </c>
      <c r="CL149" s="31">
        <v>0</v>
      </c>
    </row>
    <row r="150" spans="1:90">
      <c r="A150" s="1">
        <f ca="1">OFFSET(A150,0,6*Dashboard!$Q$3,1,1)</f>
        <v>0</v>
      </c>
      <c r="B150" s="1">
        <f ca="1">OFFSET(B150,0,6*Dashboard!$Q$3,1,1)</f>
        <v>0</v>
      </c>
      <c r="C150" s="1">
        <f ca="1">OFFSET(C150,0,6*Dashboard!$Q$3,1,1)</f>
        <v>0</v>
      </c>
      <c r="D150" s="1">
        <f ca="1">OFFSET(D150,0,6*Dashboard!$Q$3,1,1)</f>
        <v>0</v>
      </c>
      <c r="E150" s="1">
        <f ca="1">OFFSET(E150,0,6*Dashboard!$Q$3,1,1)</f>
        <v>0</v>
      </c>
      <c r="CH150" s="31">
        <v>0</v>
      </c>
      <c r="CI150" s="31">
        <v>0</v>
      </c>
      <c r="CJ150" s="31">
        <v>0</v>
      </c>
      <c r="CK150" s="31">
        <v>0</v>
      </c>
      <c r="CL150" s="31">
        <v>0</v>
      </c>
    </row>
    <row r="151" spans="1:90">
      <c r="A151" s="1">
        <f ca="1">OFFSET(A151,0,6*Dashboard!$Q$3,1,1)</f>
        <v>0</v>
      </c>
      <c r="B151" s="1">
        <f ca="1">OFFSET(B151,0,6*Dashboard!$Q$3,1,1)</f>
        <v>0</v>
      </c>
      <c r="C151" s="1">
        <f ca="1">OFFSET(C151,0,6*Dashboard!$Q$3,1,1)</f>
        <v>0</v>
      </c>
      <c r="D151" s="1">
        <f ca="1">OFFSET(D151,0,6*Dashboard!$Q$3,1,1)</f>
        <v>0</v>
      </c>
      <c r="E151" s="1">
        <f ca="1">OFFSET(E151,0,6*Dashboard!$Q$3,1,1)</f>
        <v>0</v>
      </c>
      <c r="CH151" s="31">
        <v>0</v>
      </c>
      <c r="CI151" s="31">
        <v>0</v>
      </c>
      <c r="CJ151" s="31">
        <v>0</v>
      </c>
      <c r="CK151" s="31">
        <v>0</v>
      </c>
      <c r="CL151" s="31">
        <v>0</v>
      </c>
    </row>
    <row r="152" spans="1:90">
      <c r="CH152" s="31">
        <v>0</v>
      </c>
      <c r="CI152" s="31">
        <v>0</v>
      </c>
      <c r="CJ152" s="31">
        <v>0</v>
      </c>
      <c r="CK152" s="31">
        <v>0</v>
      </c>
      <c r="CL152" s="31">
        <v>0</v>
      </c>
    </row>
    <row r="153" spans="1:90">
      <c r="CH153" s="31"/>
    </row>
  </sheetData>
  <pageMargins left="0.75" right="0.75" top="1" bottom="1" header="0.5" footer="0.5"/>
  <pageSetup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F220"/>
  <sheetViews>
    <sheetView topLeftCell="S1" zoomScaleNormal="100" zoomScalePageLayoutView="125" workbookViewId="0">
      <selection activeCell="AN1" sqref="AN1"/>
    </sheetView>
  </sheetViews>
  <sheetFormatPr defaultColWidth="8.85546875" defaultRowHeight="15"/>
  <cols>
    <col min="1" max="1" width="9.28515625" style="4" hidden="1" customWidth="1"/>
    <col min="2" max="2" width="13" style="4" hidden="1" customWidth="1"/>
    <col min="3" max="3" width="7.7109375" style="4" hidden="1" customWidth="1"/>
    <col min="4" max="4" width="7.42578125" style="4" hidden="1" customWidth="1"/>
    <col min="5" max="5" width="8.140625" style="4" hidden="1" customWidth="1"/>
    <col min="6" max="6" width="4.85546875" style="4" hidden="1" customWidth="1"/>
    <col min="7" max="7" width="5" style="4" hidden="1" customWidth="1"/>
    <col min="8" max="8" width="6.42578125" style="4" hidden="1" customWidth="1"/>
    <col min="9" max="9" width="5" style="4" hidden="1" customWidth="1"/>
    <col min="10" max="10" width="7.42578125" style="4" hidden="1" customWidth="1"/>
    <col min="11" max="11" width="4.28515625" style="4" hidden="1" customWidth="1"/>
    <col min="12" max="12" width="6.5703125" style="4" hidden="1" customWidth="1"/>
    <col min="13" max="13" width="5.140625" style="4" hidden="1" customWidth="1"/>
    <col min="14" max="16" width="4.85546875" style="4" hidden="1" customWidth="1"/>
    <col min="17" max="17" width="5.85546875" style="4" hidden="1" customWidth="1"/>
    <col min="18" max="18" width="4.85546875" style="4" hidden="1" customWidth="1"/>
    <col min="19" max="19" width="3.7109375" style="4" customWidth="1"/>
    <col min="20" max="20" width="6.5703125" style="4" customWidth="1"/>
    <col min="21" max="21" width="20.7109375" style="4" customWidth="1"/>
    <col min="22" max="22" width="18.85546875" style="4" customWidth="1"/>
    <col min="23" max="23" width="15.7109375" style="4" customWidth="1"/>
    <col min="24" max="24" width="17.140625" style="4" customWidth="1"/>
    <col min="25" max="25" width="8.85546875" style="4" customWidth="1"/>
    <col min="26" max="26" width="5" style="4" customWidth="1"/>
    <col min="27" max="27" width="2.85546875" style="4" customWidth="1"/>
    <col min="28" max="28" width="7.7109375" style="4" customWidth="1"/>
    <col min="29" max="38" width="4.7109375" style="4" customWidth="1"/>
    <col min="39" max="39" width="9.140625" style="4" customWidth="1"/>
    <col min="40" max="40" width="5.85546875" style="4" customWidth="1"/>
    <col min="41" max="41" width="4.42578125" style="4" customWidth="1"/>
    <col min="42" max="43" width="3.28515625" style="4" customWidth="1"/>
    <col min="44" max="44" width="6.28515625" style="4" customWidth="1"/>
    <col min="45" max="45" width="4.7109375" style="4" customWidth="1"/>
    <col min="46" max="46" width="4.140625" style="4" customWidth="1"/>
    <col min="47" max="58" width="4.7109375" style="4" customWidth="1"/>
    <col min="59" max="16384" width="8.85546875" style="4"/>
  </cols>
  <sheetData>
    <row r="1" spans="1:58">
      <c r="A1" s="4" t="s">
        <v>27</v>
      </c>
      <c r="B1" s="4" t="s">
        <v>28</v>
      </c>
      <c r="C1" s="4" t="s">
        <v>29</v>
      </c>
      <c r="D1" s="4" t="s">
        <v>30</v>
      </c>
      <c r="E1" s="4" t="s">
        <v>31</v>
      </c>
      <c r="F1" s="4" t="s">
        <v>32</v>
      </c>
      <c r="G1" s="4" t="s">
        <v>33</v>
      </c>
      <c r="H1" s="4" t="s">
        <v>34</v>
      </c>
      <c r="I1" s="4" t="s">
        <v>35</v>
      </c>
      <c r="J1" s="4" t="s">
        <v>36</v>
      </c>
      <c r="K1" s="4" t="s">
        <v>37</v>
      </c>
      <c r="L1" s="4" t="s">
        <v>38</v>
      </c>
      <c r="M1" s="4" t="s">
        <v>39</v>
      </c>
      <c r="N1" s="4" t="s">
        <v>40</v>
      </c>
      <c r="AH1" s="71">
        <f>IFERROR(VLOOKUP(1.11,A50:N56,11,0),10)</f>
        <v>0</v>
      </c>
      <c r="AI1" s="71"/>
      <c r="AN1" s="92" t="s">
        <v>241</v>
      </c>
    </row>
    <row r="2" spans="1:58">
      <c r="A2" s="18">
        <v>0</v>
      </c>
      <c r="B2" s="18">
        <v>16</v>
      </c>
      <c r="C2" s="18">
        <v>4</v>
      </c>
      <c r="D2" s="18">
        <v>5</v>
      </c>
      <c r="E2" s="18">
        <v>6</v>
      </c>
      <c r="F2" s="18">
        <v>7</v>
      </c>
      <c r="G2" s="18">
        <v>0</v>
      </c>
      <c r="H2" s="18">
        <v>0</v>
      </c>
      <c r="I2" s="18">
        <v>3</v>
      </c>
      <c r="J2" s="18">
        <v>1</v>
      </c>
      <c r="K2" s="18">
        <v>2</v>
      </c>
      <c r="L2" s="18">
        <v>8</v>
      </c>
      <c r="M2" s="18">
        <v>0</v>
      </c>
      <c r="N2" s="18">
        <v>0</v>
      </c>
      <c r="R2" s="22"/>
      <c r="S2" s="22"/>
      <c r="U2" s="25" t="s">
        <v>52</v>
      </c>
      <c r="V2" s="25" t="s">
        <v>83</v>
      </c>
      <c r="W2" s="25" t="s">
        <v>79</v>
      </c>
      <c r="X2" s="25" t="s">
        <v>134</v>
      </c>
      <c r="Y2" s="22"/>
      <c r="AH2" s="71">
        <f>IFERROR(VLOOKUP(1.11,A50:N56,10,0),10)</f>
        <v>0</v>
      </c>
      <c r="AI2" s="71"/>
      <c r="AN2" s="71">
        <f>IFERROR(VLOOKUP(1.09,A50:N56,11,0),10)</f>
        <v>10</v>
      </c>
      <c r="AO2" s="71"/>
      <c r="AS2" s="71"/>
      <c r="AT2" s="71"/>
    </row>
    <row r="3" spans="1:58">
      <c r="A3" s="18">
        <v>1</v>
      </c>
      <c r="B3" s="18">
        <v>16</v>
      </c>
      <c r="C3" s="18">
        <v>3</v>
      </c>
      <c r="D3" s="18">
        <v>0</v>
      </c>
      <c r="E3" s="18">
        <v>0</v>
      </c>
      <c r="F3" s="18">
        <v>0</v>
      </c>
      <c r="G3" s="18">
        <v>0</v>
      </c>
      <c r="H3" s="18">
        <v>0</v>
      </c>
      <c r="I3" s="18">
        <v>1</v>
      </c>
      <c r="J3" s="18">
        <v>2</v>
      </c>
      <c r="K3" s="18">
        <v>8</v>
      </c>
      <c r="L3" s="18">
        <v>0</v>
      </c>
      <c r="M3" s="18">
        <v>0</v>
      </c>
      <c r="N3" s="18">
        <v>0</v>
      </c>
      <c r="Q3" s="18">
        <f>IF(U3="proof",1,IF(U3="Wheat1",2,IF(U3="Wheat2",3,IF(U3="User1",4,IF(U3="User2",5,IF(U3="User3",6,0))))))</f>
        <v>3</v>
      </c>
      <c r="U3" s="18" t="s">
        <v>55</v>
      </c>
      <c r="V3" s="23">
        <f ca="1">LARGE(input_all!AQ3:AQ10,1)+1</f>
        <v>9</v>
      </c>
      <c r="W3" s="18">
        <f>[1]!matlabsub("Masterfunc","Dashboard!$A$2:$N$21")</f>
        <v>0</v>
      </c>
      <c r="X3" s="23" t="str">
        <f>IFERROR(IF(W3=0,"Yes","No"),No)</f>
        <v>Yes</v>
      </c>
      <c r="Y3" s="41"/>
      <c r="AH3" s="71" t="str">
        <f ca="1">IFERROR(VLOOKUP(1.11,A50:N56,9,0),10)</f>
        <v>Formic acid</v>
      </c>
      <c r="AI3" s="71"/>
      <c r="AJ3" s="7">
        <f>IF(AH4=10,0,2)</f>
        <v>2</v>
      </c>
      <c r="AM3" s="12">
        <f>IFERROR(VLOOKUP(1.11,A50:N56,5,0),10)</f>
        <v>0</v>
      </c>
      <c r="AN3" s="71">
        <f>IFERROR(VLOOKUP(1.09,A50:N56,10,0),10)</f>
        <v>10</v>
      </c>
      <c r="AO3" s="71"/>
      <c r="AS3" s="71">
        <f>IFERROR(VLOOKUP(1.09,A50:N56,5,0),10)</f>
        <v>10</v>
      </c>
      <c r="AT3" s="71"/>
    </row>
    <row r="4" spans="1:58">
      <c r="A4" s="18">
        <v>1.1000000000000001</v>
      </c>
      <c r="B4" s="18">
        <v>4</v>
      </c>
      <c r="C4" s="18">
        <v>8</v>
      </c>
      <c r="D4" s="18">
        <v>0</v>
      </c>
      <c r="E4" s="18">
        <v>0</v>
      </c>
      <c r="F4" s="18">
        <v>0</v>
      </c>
      <c r="G4" s="18">
        <v>0</v>
      </c>
      <c r="H4" s="18">
        <v>0</v>
      </c>
      <c r="I4" s="18">
        <v>2</v>
      </c>
      <c r="J4" s="18">
        <v>1</v>
      </c>
      <c r="K4" s="18">
        <v>0</v>
      </c>
      <c r="L4" s="18">
        <v>0</v>
      </c>
      <c r="M4" s="18">
        <v>0</v>
      </c>
      <c r="N4" s="18">
        <v>0</v>
      </c>
      <c r="AH4" s="72" t="str">
        <f>IFERROR(VLOOKUP(1.11,A50:B56,2,0),10)</f>
        <v>1,11: Vapor pressure</v>
      </c>
      <c r="AI4" s="72"/>
      <c r="AJ4" s="72"/>
      <c r="AK4" s="72"/>
      <c r="AL4" s="72"/>
      <c r="AM4" s="12" t="str">
        <f ca="1">IFERROR(VLOOKUP(1.11,A50:N56,3,0),10)</f>
        <v>Acetic acid</v>
      </c>
      <c r="AN4" s="71">
        <f>IFERROR(VLOOKUP(1.09,A50:N56,9,0),10)</f>
        <v>10</v>
      </c>
      <c r="AO4" s="71"/>
      <c r="AP4" s="7">
        <f>IF(AN5=10,0,2)</f>
        <v>0</v>
      </c>
      <c r="AS4" s="71">
        <f>IFERROR(VLOOKUP(1.09,A50:N56,4,0),10)</f>
        <v>10</v>
      </c>
      <c r="AT4" s="71"/>
      <c r="AW4" s="74" t="s">
        <v>131</v>
      </c>
      <c r="AX4" s="74"/>
      <c r="AY4" s="74"/>
      <c r="BA4" s="43"/>
      <c r="BB4" s="39"/>
      <c r="BC4" s="39"/>
    </row>
    <row r="5" spans="1:58">
      <c r="A5" s="18">
        <v>1.1100000000000001</v>
      </c>
      <c r="B5" s="18">
        <v>16</v>
      </c>
      <c r="C5" s="18">
        <v>1</v>
      </c>
      <c r="D5" s="18">
        <v>0</v>
      </c>
      <c r="E5" s="18">
        <v>0</v>
      </c>
      <c r="F5" s="18">
        <v>0</v>
      </c>
      <c r="G5" s="18">
        <v>0</v>
      </c>
      <c r="H5" s="18">
        <v>0</v>
      </c>
      <c r="I5" s="18">
        <v>2</v>
      </c>
      <c r="J5" s="18">
        <v>0</v>
      </c>
      <c r="K5" s="18">
        <v>0</v>
      </c>
      <c r="L5" s="18">
        <v>0</v>
      </c>
      <c r="M5" s="18">
        <v>0</v>
      </c>
      <c r="N5" s="18">
        <v>0</v>
      </c>
      <c r="U5" s="25" t="s">
        <v>235</v>
      </c>
      <c r="V5" s="25" t="s">
        <v>58</v>
      </c>
      <c r="W5" s="25" t="s">
        <v>57</v>
      </c>
      <c r="X5" s="25" t="s">
        <v>21</v>
      </c>
      <c r="AH5" s="72"/>
      <c r="AI5" s="72"/>
      <c r="AJ5" s="72"/>
      <c r="AK5" s="72"/>
      <c r="AL5" s="72"/>
      <c r="AM5" s="7">
        <f>IF(AH4=10,0,2)</f>
        <v>2</v>
      </c>
      <c r="AN5" s="72">
        <f>IFERROR(VLOOKUP(1.09,A50:B56,2,0),10)</f>
        <v>10</v>
      </c>
      <c r="AO5" s="72"/>
      <c r="AP5" s="72"/>
      <c r="AQ5" s="72"/>
      <c r="AR5" s="72"/>
      <c r="AS5" s="71">
        <f>IFERROR(VLOOKUP(1.09,A50:N56,3,0),10)</f>
        <v>10</v>
      </c>
      <c r="AT5" s="71"/>
    </row>
    <row r="6" spans="1:58">
      <c r="A6" s="18">
        <v>-1</v>
      </c>
      <c r="B6" s="18">
        <v>4</v>
      </c>
      <c r="C6" s="18">
        <v>4</v>
      </c>
      <c r="D6" s="18">
        <v>0</v>
      </c>
      <c r="E6" s="18">
        <v>0</v>
      </c>
      <c r="F6" s="18">
        <v>0</v>
      </c>
      <c r="G6" s="18">
        <v>0</v>
      </c>
      <c r="H6" s="18">
        <v>0</v>
      </c>
      <c r="I6" s="18">
        <v>6</v>
      </c>
      <c r="J6" s="18">
        <v>7</v>
      </c>
      <c r="K6" s="18">
        <v>5</v>
      </c>
      <c r="L6" s="18">
        <v>0</v>
      </c>
      <c r="M6" s="18">
        <v>0</v>
      </c>
      <c r="N6" s="18">
        <v>0</v>
      </c>
      <c r="P6" s="18">
        <f t="shared" ref="P6:Q13" ca="1" si="0">IFERROR(VLOOKUP(V6,$B$41:$C$48,2,0),0)</f>
        <v>4</v>
      </c>
      <c r="Q6" s="18">
        <f t="shared" ca="1" si="0"/>
        <v>5</v>
      </c>
      <c r="R6" s="18">
        <f t="shared" ref="R6:R13" si="1">IFERROR(VLOOKUP(X6,$A$73:$B$90,2,0),0)</f>
        <v>16</v>
      </c>
      <c r="S6" s="22"/>
      <c r="U6" s="44">
        <v>0</v>
      </c>
      <c r="V6" s="18" t="s">
        <v>47</v>
      </c>
      <c r="W6" s="18" t="s">
        <v>48</v>
      </c>
      <c r="X6" s="18" t="s">
        <v>12</v>
      </c>
      <c r="AH6" s="72"/>
      <c r="AI6" s="72"/>
      <c r="AJ6" s="72"/>
      <c r="AK6" s="72"/>
      <c r="AL6" s="72"/>
      <c r="AM6" s="12">
        <f>IFERROR(VLOOKUP(1.11,A50:N56,4,0),10)</f>
        <v>0</v>
      </c>
      <c r="AN6" s="72"/>
      <c r="AO6" s="72"/>
      <c r="AP6" s="72"/>
      <c r="AQ6" s="72"/>
      <c r="AR6" s="72"/>
      <c r="AS6" s="7">
        <f>IF(AN5=10,0,2)</f>
        <v>0</v>
      </c>
      <c r="AW6" s="74" t="s">
        <v>132</v>
      </c>
      <c r="AX6" s="74"/>
      <c r="AY6" s="74"/>
    </row>
    <row r="7" spans="1:58">
      <c r="A7" s="18">
        <v>-0.9</v>
      </c>
      <c r="B7" s="18">
        <v>15</v>
      </c>
      <c r="C7" s="18">
        <v>5</v>
      </c>
      <c r="D7" s="18">
        <v>6</v>
      </c>
      <c r="E7" s="18">
        <v>0</v>
      </c>
      <c r="F7" s="18">
        <v>0</v>
      </c>
      <c r="G7" s="18">
        <v>0</v>
      </c>
      <c r="H7" s="18">
        <v>0</v>
      </c>
      <c r="I7" s="18">
        <v>7</v>
      </c>
      <c r="J7" s="18">
        <v>0</v>
      </c>
      <c r="K7" s="18">
        <v>0</v>
      </c>
      <c r="L7" s="18">
        <v>0</v>
      </c>
      <c r="M7" s="18">
        <v>0</v>
      </c>
      <c r="N7" s="18">
        <v>0</v>
      </c>
      <c r="P7" s="18">
        <f t="shared" ca="1" si="0"/>
        <v>6</v>
      </c>
      <c r="Q7" s="18">
        <f t="shared" ca="1" si="0"/>
        <v>4</v>
      </c>
      <c r="R7" s="18">
        <f t="shared" si="1"/>
        <v>15</v>
      </c>
      <c r="S7" s="22"/>
      <c r="U7" s="44">
        <v>-1</v>
      </c>
      <c r="V7" s="18" t="s">
        <v>49</v>
      </c>
      <c r="W7" s="18" t="s">
        <v>47</v>
      </c>
      <c r="X7" s="18" t="s">
        <v>62</v>
      </c>
      <c r="AH7" s="71">
        <f>IFERROR(VLOOKUP(1.1,A50:N56,11,0),10)</f>
        <v>0</v>
      </c>
      <c r="AI7" s="71"/>
      <c r="AJ7" s="7">
        <f>IF(AJ9=1,1,0)</f>
        <v>1</v>
      </c>
      <c r="AN7" s="72"/>
      <c r="AO7" s="72"/>
      <c r="AP7" s="72"/>
      <c r="AQ7" s="72"/>
      <c r="AR7" s="72"/>
    </row>
    <row r="8" spans="1:58">
      <c r="A8" s="18">
        <v>-0.99</v>
      </c>
      <c r="B8" s="18">
        <v>21</v>
      </c>
      <c r="C8" s="18">
        <v>5</v>
      </c>
      <c r="D8" s="18">
        <v>0</v>
      </c>
      <c r="E8" s="18">
        <v>0</v>
      </c>
      <c r="F8" s="18">
        <v>0</v>
      </c>
      <c r="G8" s="18">
        <v>0</v>
      </c>
      <c r="H8" s="18">
        <v>0</v>
      </c>
      <c r="I8" s="18">
        <v>6</v>
      </c>
      <c r="J8" s="18">
        <v>0</v>
      </c>
      <c r="K8" s="18">
        <v>0</v>
      </c>
      <c r="L8" s="18">
        <v>0</v>
      </c>
      <c r="M8" s="18">
        <v>0</v>
      </c>
      <c r="N8" s="18">
        <v>0</v>
      </c>
      <c r="P8" s="18">
        <f t="shared" ca="1" si="0"/>
        <v>6</v>
      </c>
      <c r="Q8" s="18">
        <f t="shared" ca="1" si="0"/>
        <v>4</v>
      </c>
      <c r="R8" s="18">
        <f t="shared" si="1"/>
        <v>11</v>
      </c>
      <c r="S8" s="22"/>
      <c r="U8" s="44">
        <v>-1</v>
      </c>
      <c r="V8" s="18" t="s">
        <v>49</v>
      </c>
      <c r="W8" s="18" t="s">
        <v>47</v>
      </c>
      <c r="X8" s="18" t="s">
        <v>61</v>
      </c>
      <c r="AH8" s="71" t="str">
        <f ca="1">IFERROR(VLOOKUP(1.1,A50:N56,10,0),10)</f>
        <v>Acetic acid</v>
      </c>
      <c r="AI8" s="71"/>
      <c r="AJ8" s="7">
        <f>IF(AJ9=1,1,0)</f>
        <v>1</v>
      </c>
      <c r="AP8" s="7">
        <f>IF(AM11=1,1,0)</f>
        <v>0</v>
      </c>
      <c r="AQ8" s="71">
        <f>IFERROR(VLOOKUP(0.91,A50:N56,10,0),10)</f>
        <v>10</v>
      </c>
      <c r="AR8" s="71"/>
      <c r="AW8" s="74" t="s">
        <v>98</v>
      </c>
      <c r="AX8" s="74"/>
      <c r="AY8" s="74"/>
    </row>
    <row r="9" spans="1:58">
      <c r="A9" s="18">
        <v>0</v>
      </c>
      <c r="B9" s="18">
        <v>0</v>
      </c>
      <c r="C9" s="18">
        <v>0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P9" s="18">
        <f t="shared" ca="1" si="0"/>
        <v>7</v>
      </c>
      <c r="Q9" s="18">
        <f t="shared" ca="1" si="0"/>
        <v>5</v>
      </c>
      <c r="R9" s="18">
        <f t="shared" si="1"/>
        <v>4</v>
      </c>
      <c r="S9" s="22"/>
      <c r="U9" s="44"/>
      <c r="V9" s="18" t="s">
        <v>50</v>
      </c>
      <c r="W9" s="18" t="s">
        <v>48</v>
      </c>
      <c r="X9" s="18" t="s">
        <v>7</v>
      </c>
      <c r="AH9" s="71" t="str">
        <f ca="1">IFERROR(VLOOKUP(1.1,A50:N56,9,0),10)</f>
        <v>Formic acid</v>
      </c>
      <c r="AI9" s="71"/>
      <c r="AJ9" s="7">
        <f>IF(AH10=10,0,IF(AH4=10,2,1))</f>
        <v>1</v>
      </c>
      <c r="AK9" s="71">
        <f>IFERROR(VLOOKUP(1.1,A50:N56,12,0),10)</f>
        <v>0</v>
      </c>
      <c r="AL9" s="71"/>
      <c r="AM9" s="71">
        <f>IFERROR(VLOOKUP(1.1,A50:N56,5,0),10)</f>
        <v>0</v>
      </c>
      <c r="AN9" s="71"/>
      <c r="AP9" s="7">
        <f>IF(AM11=1,1,0)</f>
        <v>0</v>
      </c>
      <c r="AQ9" s="71">
        <f>IFERROR(VLOOKUP(0.91,A50:N56,9,0),10)</f>
        <v>10</v>
      </c>
      <c r="AR9" s="71"/>
      <c r="AS9" s="7">
        <f>IF(AQ10=10,0,2)</f>
        <v>0</v>
      </c>
      <c r="AT9" s="71">
        <f>IFERROR(VLOOKUP(0.91,A50:N56,11,0),10)</f>
        <v>10</v>
      </c>
      <c r="AU9" s="71"/>
      <c r="AV9" s="71">
        <f>IFERROR(VLOOKUP(0.91,A50:N56,5,0),10)</f>
        <v>10</v>
      </c>
      <c r="AW9" s="71"/>
    </row>
    <row r="10" spans="1:58">
      <c r="A10" s="24">
        <v>0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P10" s="18">
        <f t="shared" ca="1" si="0"/>
        <v>0</v>
      </c>
      <c r="Q10" s="18">
        <f t="shared" ca="1" si="0"/>
        <v>0</v>
      </c>
      <c r="R10" s="18">
        <f t="shared" si="1"/>
        <v>0</v>
      </c>
      <c r="S10" s="22"/>
      <c r="U10" s="44"/>
      <c r="V10" s="18"/>
      <c r="W10" s="18"/>
      <c r="X10" s="18"/>
      <c r="AH10" s="72" t="str">
        <f>IFERROR(VLOOKUP(1.1,A50:B56,2,0),10)</f>
        <v>1,1: Molecular weight</v>
      </c>
      <c r="AI10" s="72"/>
      <c r="AJ10" s="72"/>
      <c r="AK10" s="72"/>
      <c r="AL10" s="72"/>
      <c r="AM10" s="73" t="str">
        <f ca="1">IFERROR(VLOOKUP(1.1,A50:N56,3,0),10)</f>
        <v>Water</v>
      </c>
      <c r="AN10" s="73"/>
      <c r="AP10" s="7">
        <f>IF(AM11=1,1,0)</f>
        <v>0</v>
      </c>
      <c r="AQ10" s="72">
        <f>IFERROR(VLOOKUP(0.91,A50:B56,2,0),10)</f>
        <v>10</v>
      </c>
      <c r="AR10" s="72"/>
      <c r="AS10" s="72"/>
      <c r="AT10" s="72"/>
      <c r="AU10" s="72"/>
      <c r="AV10" s="71">
        <f>IFERROR(VLOOKUP(0.91,A50:N56,3,0),10)</f>
        <v>10</v>
      </c>
      <c r="AW10" s="71"/>
    </row>
    <row r="11" spans="1:58">
      <c r="A11" s="24">
        <v>0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P11" s="18">
        <f t="shared" ca="1" si="0"/>
        <v>0</v>
      </c>
      <c r="Q11" s="18">
        <f t="shared" ca="1" si="0"/>
        <v>0</v>
      </c>
      <c r="R11" s="18">
        <f t="shared" si="1"/>
        <v>0</v>
      </c>
      <c r="S11" s="22"/>
      <c r="U11" s="44"/>
      <c r="V11" s="18"/>
      <c r="W11" s="18"/>
      <c r="X11" s="18"/>
      <c r="AG11" s="7"/>
      <c r="AH11" s="72"/>
      <c r="AI11" s="72"/>
      <c r="AJ11" s="72"/>
      <c r="AK11" s="72"/>
      <c r="AL11" s="72"/>
      <c r="AM11" s="7">
        <f>IF(AH10=10,0,IF(AN5=10,2,1))</f>
        <v>2</v>
      </c>
      <c r="AN11" s="7">
        <f>IF(AM11=1,1,0)</f>
        <v>0</v>
      </c>
      <c r="AO11" s="7">
        <f>IF(AM11=1,1,0)</f>
        <v>0</v>
      </c>
      <c r="AP11" s="7">
        <f>IF(AM11=1,1,0)</f>
        <v>0</v>
      </c>
      <c r="AQ11" s="72"/>
      <c r="AR11" s="72"/>
      <c r="AS11" s="72"/>
      <c r="AT11" s="72"/>
      <c r="AU11" s="72"/>
      <c r="AV11" s="7">
        <f>IF(AQ10=10,0,2)</f>
        <v>0</v>
      </c>
    </row>
    <row r="12" spans="1:58">
      <c r="A12" s="24">
        <v>0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P12" s="18">
        <f t="shared" ca="1" si="0"/>
        <v>0</v>
      </c>
      <c r="Q12" s="18">
        <f t="shared" ca="1" si="0"/>
        <v>0</v>
      </c>
      <c r="R12" s="18">
        <f t="shared" si="1"/>
        <v>0</v>
      </c>
      <c r="S12" s="22"/>
      <c r="U12" s="44"/>
      <c r="V12" s="18"/>
      <c r="W12" s="18"/>
      <c r="X12" s="18"/>
      <c r="AH12" s="72"/>
      <c r="AI12" s="72"/>
      <c r="AJ12" s="72"/>
      <c r="AK12" s="72"/>
      <c r="AL12" s="72"/>
      <c r="AM12" s="71">
        <f>IFERROR(VLOOKUP(1.1,A50:N56,4,0),10)</f>
        <v>0</v>
      </c>
      <c r="AN12" s="71"/>
      <c r="AQ12" s="72"/>
      <c r="AR12" s="72"/>
      <c r="AS12" s="72"/>
      <c r="AT12" s="72"/>
      <c r="AU12" s="72"/>
      <c r="AV12" s="71">
        <f>IFERROR(VLOOKUP(0.91,A50:N56,4,0),10)</f>
        <v>10</v>
      </c>
      <c r="AW12" s="71"/>
    </row>
    <row r="13" spans="1:58">
      <c r="A13" s="24">
        <v>0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P13" s="18">
        <f t="shared" ca="1" si="0"/>
        <v>0</v>
      </c>
      <c r="Q13" s="18">
        <f t="shared" ca="1" si="0"/>
        <v>0</v>
      </c>
      <c r="R13" s="18">
        <f t="shared" si="1"/>
        <v>0</v>
      </c>
      <c r="S13" s="22"/>
      <c r="U13" s="44"/>
      <c r="V13" s="18"/>
      <c r="W13" s="18"/>
      <c r="X13" s="18"/>
      <c r="AH13" s="71" t="str">
        <f ca="1">IFERROR(VLOOKUP(1,A50:N56,11,0),10)</f>
        <v>Water</v>
      </c>
      <c r="AI13" s="71"/>
      <c r="AJ13" s="7">
        <f>IF(AJ15=1,1,0)</f>
        <v>1</v>
      </c>
      <c r="AK13" s="79"/>
      <c r="AL13" s="79"/>
      <c r="AM13" s="71">
        <f>IFERROR(VLOOKUP(1.1,A50:N56,6,0),10)</f>
        <v>0</v>
      </c>
      <c r="AN13" s="71"/>
      <c r="AQ13" s="71">
        <f>IFERROR(VLOOKUP(0.9,A50:N56,11,0),10)</f>
        <v>10</v>
      </c>
      <c r="AR13" s="71"/>
      <c r="AS13" s="7">
        <f>IF(AS15=1,1,0)</f>
        <v>0</v>
      </c>
      <c r="AZ13" s="71">
        <f>IFERROR(VLOOKUP(0.89,A50:N56,11,0),10)</f>
        <v>10</v>
      </c>
      <c r="BA13" s="71"/>
    </row>
    <row r="14" spans="1:58">
      <c r="A14" s="24">
        <v>0</v>
      </c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AE14" s="8"/>
      <c r="AH14" s="71" t="str">
        <f ca="1">IFERROR(VLOOKUP(1,A50:N56,10,0),10)</f>
        <v>Formic acid</v>
      </c>
      <c r="AI14" s="71"/>
      <c r="AJ14" s="7">
        <f>IF(AJ15=1,1,0)</f>
        <v>1</v>
      </c>
      <c r="AK14" s="71">
        <f>IFERROR(VLOOKUP(1,A50:N56,13,0),10)</f>
        <v>0</v>
      </c>
      <c r="AL14" s="71"/>
      <c r="AM14" s="71">
        <f>IFERROR(VLOOKUP(1,A50:N56,7,0),10)</f>
        <v>0</v>
      </c>
      <c r="AN14" s="71"/>
      <c r="AO14" s="13"/>
      <c r="AQ14" s="71">
        <f>IFERROR(VLOOKUP(0.9,A50:N56,10,0),10)</f>
        <v>10</v>
      </c>
      <c r="AR14" s="71"/>
      <c r="AS14" s="7">
        <f>IF(AS15=1,1,0)</f>
        <v>0</v>
      </c>
      <c r="AZ14" s="71">
        <f>IFERROR(VLOOKUP(0.89,A50:N56,10,0),10)</f>
        <v>10</v>
      </c>
      <c r="BA14" s="71"/>
    </row>
    <row r="15" spans="1:58" ht="14.25" customHeight="1">
      <c r="A15" s="24">
        <v>0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AF15" s="6"/>
      <c r="AG15" s="6"/>
      <c r="AH15" s="71" t="str">
        <f ca="1">IFERROR(VLOOKUP(1,A50:N56,9,0),10)</f>
        <v>Acetic acid</v>
      </c>
      <c r="AI15" s="71"/>
      <c r="AJ15" s="7">
        <f>IF(AH16=10,0,IF(AH10=10,2,1))</f>
        <v>1</v>
      </c>
      <c r="AK15" s="71">
        <f>IFERROR(VLOOKUP(1,A50:N56,12,0),10)</f>
        <v>0</v>
      </c>
      <c r="AL15" s="71"/>
      <c r="AM15" s="71">
        <f>IFERROR(VLOOKUP(1,A50:N56,5,0),10)</f>
        <v>0</v>
      </c>
      <c r="AN15" s="71"/>
      <c r="AO15" s="13"/>
      <c r="AQ15" s="71">
        <f>IFERROR(VLOOKUP(0.9,A50:N56,9,0),10)</f>
        <v>10</v>
      </c>
      <c r="AR15" s="71"/>
      <c r="AS15" s="7">
        <f>IF(AQ16=10,0,IF(AQ10=10,2,1))</f>
        <v>0</v>
      </c>
      <c r="AT15" s="71">
        <f>IFERROR(VLOOKUP(0.9,A50:N56,12,0),10)</f>
        <v>10</v>
      </c>
      <c r="AU15" s="71"/>
      <c r="AV15" s="71">
        <f>IFERROR(VLOOKUP(0.9,A50:N56,5,0),10)</f>
        <v>10</v>
      </c>
      <c r="AW15" s="71"/>
      <c r="AZ15" s="71">
        <f>IFERROR(VLOOKUP(0.89,A50:N56,9,0),10)</f>
        <v>10</v>
      </c>
      <c r="BA15" s="71"/>
      <c r="BB15" s="7">
        <f>IF(AZ16=10,0,2)</f>
        <v>0</v>
      </c>
      <c r="BE15" s="71">
        <f>IFERROR(VLOOKUP(0.89,A50:N56,5,0),10)</f>
        <v>10</v>
      </c>
      <c r="BF15" s="71"/>
    </row>
    <row r="16" spans="1:58">
      <c r="A16" s="24">
        <v>0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Q16" s="18">
        <f>IF(U17="Fermentation",1,IF(U17="User1",2,IF(U17="None",3)))</f>
        <v>1</v>
      </c>
      <c r="U16" s="25" t="s">
        <v>98</v>
      </c>
      <c r="V16" s="25" t="s">
        <v>97</v>
      </c>
      <c r="W16" s="25" t="s">
        <v>99</v>
      </c>
      <c r="X16" s="25" t="s">
        <v>133</v>
      </c>
      <c r="Y16" s="22"/>
      <c r="AH16" s="77" t="str">
        <f>IFERROR(VLOOKUP(1,A50:B56,2,0),10)</f>
        <v>1: Vapor pressure</v>
      </c>
      <c r="AI16" s="77"/>
      <c r="AJ16" s="77"/>
      <c r="AK16" s="77"/>
      <c r="AL16" s="77"/>
      <c r="AM16" s="73" t="str">
        <f ca="1">IFERROR(VLOOKUP(1,A50:N56,3,0),10)</f>
        <v>Furfural</v>
      </c>
      <c r="AN16" s="73"/>
      <c r="AO16" s="13"/>
      <c r="AQ16" s="72">
        <f>IFERROR(VLOOKUP(0.9,A50:B56,2,0),10)</f>
        <v>10</v>
      </c>
      <c r="AR16" s="72"/>
      <c r="AS16" s="72"/>
      <c r="AT16" s="72"/>
      <c r="AU16" s="72"/>
      <c r="AV16" s="71">
        <f>IFERROR(VLOOKUP(0.9,A50:N56,3,0),10)</f>
        <v>10</v>
      </c>
      <c r="AW16" s="71"/>
      <c r="AZ16" s="72">
        <f>IFERROR(VLOOKUP(0.89,A50:B56,2,0),10)</f>
        <v>10</v>
      </c>
      <c r="BA16" s="72"/>
      <c r="BB16" s="72"/>
      <c r="BC16" s="72"/>
      <c r="BD16" s="72"/>
      <c r="BE16" s="71">
        <f>IFERROR(VLOOKUP(0.89,A50:N56,3,0),10)</f>
        <v>10</v>
      </c>
      <c r="BF16" s="71"/>
    </row>
    <row r="17" spans="1:58">
      <c r="A17" s="24">
        <v>0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U17" s="18" t="s">
        <v>100</v>
      </c>
      <c r="V17" s="23" t="str">
        <f ca="1">IF(input_all!BV3=0,"",input_all!BV3)</f>
        <v>Xylose</v>
      </c>
      <c r="W17" s="23" t="str">
        <f ca="1">IF(input_all!BW3=0,"",input_all!BW3)</f>
        <v>Water</v>
      </c>
      <c r="X17" s="18" t="str">
        <f>IF(AND(Q19=0,COUNTIF(N137:O148,input_all!BT7)),"Yes","No")</f>
        <v>Yes</v>
      </c>
      <c r="Y17" s="22"/>
      <c r="AD17" s="7">
        <f>IF(AD19=1,1,0)</f>
        <v>1</v>
      </c>
      <c r="AE17" s="7">
        <f>IF(AD19=1,1,0)</f>
        <v>1</v>
      </c>
      <c r="AF17" s="7">
        <f>IF(AD19=1,1,0)</f>
        <v>1</v>
      </c>
      <c r="AG17" s="7">
        <f>IF(AD19=1,1,0)</f>
        <v>1</v>
      </c>
      <c r="AH17" s="77"/>
      <c r="AI17" s="77"/>
      <c r="AJ17" s="77"/>
      <c r="AK17" s="77"/>
      <c r="AL17" s="77"/>
      <c r="AM17" s="7">
        <f>IF(AH16=10,0,IF(AQ16=10,2,1))</f>
        <v>2</v>
      </c>
      <c r="AN17" s="7">
        <f>IF(AM17=1,1,0)</f>
        <v>0</v>
      </c>
      <c r="AO17" s="7">
        <f>IF(AM17=1,1,0)</f>
        <v>0</v>
      </c>
      <c r="AP17" s="7">
        <f>IF(AM17=1,1,0)</f>
        <v>0</v>
      </c>
      <c r="AQ17" s="72"/>
      <c r="AR17" s="72"/>
      <c r="AS17" s="72"/>
      <c r="AT17" s="72"/>
      <c r="AU17" s="72"/>
      <c r="AV17" s="7">
        <f>IF(AQ16=10,0,IF(AZ16=10,2,1))</f>
        <v>0</v>
      </c>
      <c r="AW17" s="7">
        <f>IF(AV17=1,1,0)</f>
        <v>0</v>
      </c>
      <c r="AX17" s="7">
        <f>IF(AV17=1,1,0)</f>
        <v>0</v>
      </c>
      <c r="AY17" s="7">
        <f>IF(AV17=1,1,0)</f>
        <v>0</v>
      </c>
      <c r="AZ17" s="72"/>
      <c r="BA17" s="72"/>
      <c r="BB17" s="72"/>
      <c r="BC17" s="72"/>
      <c r="BD17" s="72"/>
      <c r="BE17" s="7">
        <f>IF(AZ16=10,0,2)</f>
        <v>0</v>
      </c>
    </row>
    <row r="18" spans="1:58">
      <c r="A18" s="24">
        <v>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U18" s="18"/>
      <c r="V18" s="23" t="str">
        <f ca="1">IF(input_all!BV4=0,"",input_all!BV4)</f>
        <v>Arabinose</v>
      </c>
      <c r="W18" s="23" t="str">
        <f ca="1">IF(input_all!BW4=0,"",input_all!BW4)</f>
        <v>Ethanol</v>
      </c>
      <c r="X18" s="18"/>
      <c r="Y18" s="22"/>
      <c r="AB18" s="75" t="str">
        <f ca="1">IFERROR(VLOOKUP(0,A50:N56,11,0),10)</f>
        <v>Formic acid</v>
      </c>
      <c r="AC18" s="75"/>
      <c r="AD18" s="7">
        <f>IF(AD19=1,1,0)</f>
        <v>1</v>
      </c>
      <c r="AE18" s="79">
        <f>IFERROR(VLOOKUP(0,A50:N56,14,0),10)</f>
        <v>0</v>
      </c>
      <c r="AF18" s="79"/>
      <c r="AH18" s="77"/>
      <c r="AI18" s="77"/>
      <c r="AJ18" s="77"/>
      <c r="AK18" s="77"/>
      <c r="AL18" s="77"/>
      <c r="AM18" s="71">
        <f>IFERROR(VLOOKUP(1,A50:N56,4,0),10)</f>
        <v>0</v>
      </c>
      <c r="AN18" s="71"/>
      <c r="AO18" s="13"/>
      <c r="AQ18" s="72"/>
      <c r="AR18" s="72"/>
      <c r="AS18" s="72"/>
      <c r="AT18" s="72"/>
      <c r="AU18" s="72"/>
      <c r="AV18" s="71">
        <f>IFERROR(VLOOKUP(0.9,A50:N56,4,0),10)</f>
        <v>10</v>
      </c>
      <c r="AW18" s="71"/>
      <c r="AZ18" s="72"/>
      <c r="BA18" s="72"/>
      <c r="BB18" s="72"/>
      <c r="BC18" s="72"/>
      <c r="BD18" s="72"/>
      <c r="BE18" s="71">
        <f>IFERROR(VLOOKUP(0.89,A50:N56,4,0),10)</f>
        <v>10</v>
      </c>
      <c r="BF18" s="71"/>
    </row>
    <row r="19" spans="1:58">
      <c r="A19" s="24">
        <v>0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Q19" s="18">
        <f>[1]!matlabsub("Reaction","Dashboard!$A$171:$N$190")</f>
        <v>0</v>
      </c>
      <c r="U19" s="18"/>
      <c r="V19" s="23" t="str">
        <f ca="1">IF(input_all!BV5=0,"",input_all!BV5)</f>
        <v>Glucose</v>
      </c>
      <c r="W19" s="23" t="str">
        <f ca="1">IF(input_all!BW5=0,"",input_all!BW5)</f>
        <v/>
      </c>
      <c r="X19" s="18"/>
      <c r="Y19" s="22"/>
      <c r="AB19" s="75" t="str">
        <f ca="1">IFERROR(VLOOKUP(0,A50:N56,10,0),10)</f>
        <v>Acetic acid</v>
      </c>
      <c r="AC19" s="75"/>
      <c r="AD19" s="7">
        <f>IF(AD20=1,1,0)</f>
        <v>1</v>
      </c>
      <c r="AE19" s="79">
        <f>IFERROR(VLOOKUP(0,A50:N56,13,0),10)</f>
        <v>0</v>
      </c>
      <c r="AF19" s="79"/>
      <c r="AM19" s="71">
        <f>IFERROR(VLOOKUP(1,A50:N56,6,0),10)</f>
        <v>0</v>
      </c>
      <c r="AN19" s="71"/>
      <c r="AO19" s="13"/>
      <c r="AS19" s="7"/>
      <c r="AV19" s="71">
        <f>IFERROR(VLOOKUP(0.9,A50:N56,6,0),10)</f>
        <v>10</v>
      </c>
      <c r="AW19" s="71"/>
    </row>
    <row r="20" spans="1:58">
      <c r="A20" s="24">
        <v>0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U20" s="18"/>
      <c r="V20" s="23" t="str">
        <f ca="1">IF(input_all!BV6=0,"",input_all!BV6)</f>
        <v/>
      </c>
      <c r="W20" s="23" t="str">
        <f ca="1">IF(input_all!BW6=0,"",input_all!BW6)</f>
        <v/>
      </c>
      <c r="X20" s="18"/>
      <c r="Y20" s="22"/>
      <c r="AB20" s="75" t="str">
        <f ca="1">IFERROR(VLOOKUP(0,A50:N56,9,0),10)</f>
        <v>Furfural</v>
      </c>
      <c r="AC20" s="75"/>
      <c r="AD20" s="7">
        <f>IF(AB21=10,0,IF(AH16=10,2,1))</f>
        <v>1</v>
      </c>
      <c r="AE20" s="79" t="str">
        <f ca="1">IFERROR(VLOOKUP(0,A50:N56,12,0),10)</f>
        <v>Water</v>
      </c>
      <c r="AF20" s="79"/>
      <c r="AS20" s="7"/>
    </row>
    <row r="21" spans="1:58">
      <c r="A21" s="24">
        <v>0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AB21" s="77" t="str">
        <f>IFERROR(VLOOKUP(0,A50:B56,2,0),10)</f>
        <v>0: Vapor pressure</v>
      </c>
      <c r="AC21" s="77"/>
      <c r="AD21" s="77"/>
      <c r="AE21" s="77"/>
      <c r="AF21" s="77"/>
      <c r="AS21" s="7"/>
    </row>
    <row r="22" spans="1:58">
      <c r="Z22" s="30" t="str">
        <f>IF(AA22&gt;0,"Feed",0)</f>
        <v>Feed</v>
      </c>
      <c r="AA22" s="7">
        <f>IF(AB21=10,0,1)</f>
        <v>1</v>
      </c>
      <c r="AB22" s="77"/>
      <c r="AC22" s="77"/>
      <c r="AD22" s="77"/>
      <c r="AE22" s="77"/>
      <c r="AF22" s="77"/>
      <c r="AG22" s="5"/>
      <c r="AQ22" s="9"/>
      <c r="AR22" s="9"/>
      <c r="AS22" s="9"/>
      <c r="AT22" s="9"/>
      <c r="AU22" s="9"/>
    </row>
    <row r="23" spans="1:58">
      <c r="T23" s="10"/>
      <c r="U23" s="38" t="s">
        <v>21</v>
      </c>
      <c r="V23" s="25" t="s">
        <v>64</v>
      </c>
      <c r="W23" s="25" t="s">
        <v>65</v>
      </c>
      <c r="X23" s="25" t="s">
        <v>66</v>
      </c>
      <c r="Y23" s="22"/>
      <c r="AB23" s="77"/>
      <c r="AC23" s="77"/>
      <c r="AD23" s="77"/>
      <c r="AE23" s="77"/>
      <c r="AF23" s="77"/>
      <c r="AQ23" s="9"/>
      <c r="AR23" s="9"/>
      <c r="AS23" s="9"/>
      <c r="AT23" s="9"/>
      <c r="AU23" s="9"/>
      <c r="AV23" s="7"/>
    </row>
    <row r="24" spans="1:58">
      <c r="I24" s="4" t="s">
        <v>240</v>
      </c>
      <c r="T24" s="10"/>
      <c r="U24" s="39" t="str">
        <f>IFERROR(B50,0)</f>
        <v>0: Vapor pressure</v>
      </c>
      <c r="V24" s="18" t="str">
        <f>IFERROR(VLOOKUP(A202,$E$74:$S$90,2,FALSE)," - ")</f>
        <v>Distillation</v>
      </c>
      <c r="W24" s="18" t="str">
        <f>IFERROR(VLOOKUP(A202,$E$74:$S$90,3,FALSE)," - ")</f>
        <v>Evaporation</v>
      </c>
      <c r="X24" s="18" t="str">
        <f>IFERROR(VLOOKUP(A202,$E$74:$S$90,4,FALSE)," - ")</f>
        <v>Pervaporation …</v>
      </c>
      <c r="Y24" s="22"/>
      <c r="AB24" s="75" t="str">
        <f ca="1">IFERROR(VLOOKUP(0,A50:N56,3,0),10)</f>
        <v>HMF</v>
      </c>
      <c r="AC24" s="75"/>
      <c r="AD24" s="7">
        <f>IF(AB21=10,0,IF(AH26=10,2,1))</f>
        <v>1</v>
      </c>
      <c r="AE24" s="75" t="str">
        <f ca="1">IFERROR(VLOOKUP(0,A50:N56,6,0),10)</f>
        <v>Glucose</v>
      </c>
      <c r="AF24" s="75"/>
      <c r="AM24" s="75">
        <f>IFERROR(VLOOKUP(-1,A50:N56,13,0),10)</f>
        <v>0</v>
      </c>
      <c r="AN24" s="75"/>
    </row>
    <row r="25" spans="1:58">
      <c r="B25" s="4" t="s">
        <v>87</v>
      </c>
      <c r="C25" s="4" t="s">
        <v>88</v>
      </c>
      <c r="D25" s="4" t="s">
        <v>89</v>
      </c>
      <c r="E25" s="4" t="s">
        <v>90</v>
      </c>
      <c r="F25" s="4" t="s">
        <v>91</v>
      </c>
      <c r="G25" s="4" t="s">
        <v>92</v>
      </c>
      <c r="H25" s="4" t="s">
        <v>94</v>
      </c>
      <c r="I25" s="4" t="s">
        <v>95</v>
      </c>
      <c r="J25" s="4" t="s">
        <v>96</v>
      </c>
      <c r="M25" s="4" t="s">
        <v>107</v>
      </c>
      <c r="N25" s="4" t="s">
        <v>106</v>
      </c>
      <c r="O25" s="4" t="s">
        <v>108</v>
      </c>
      <c r="T25" s="10"/>
      <c r="U25" s="39" t="str">
        <f t="shared" ref="U25:U26" si="2">IFERROR(B51,0)</f>
        <v>1: Vapor pressure</v>
      </c>
      <c r="V25" s="18" t="str">
        <f t="shared" ref="V25:V30" si="3">IFERROR(VLOOKUP(A203,$E$74:$S$90,2,FALSE)," - ")</f>
        <v>Distillation</v>
      </c>
      <c r="W25" s="18" t="str">
        <f t="shared" ref="W25:W30" si="4">IFERROR(VLOOKUP(A203,$E$74:$S$90,3,FALSE)," - ")</f>
        <v>Evaporation</v>
      </c>
      <c r="X25" s="18" t="str">
        <f t="shared" ref="X25:X30" si="5">IFERROR(VLOOKUP(A203,$E$74:$S$90,4,FALSE)," - ")</f>
        <v>Pervaporation …</v>
      </c>
      <c r="Y25" s="22"/>
      <c r="AB25" s="75" t="str">
        <f ca="1">IFERROR(VLOOKUP(0,A50:N56,4,0),10)</f>
        <v>Xylose</v>
      </c>
      <c r="AC25" s="75"/>
      <c r="AD25" s="7">
        <f>IF(AD24=1,1,0)</f>
        <v>1</v>
      </c>
      <c r="AE25" s="75">
        <f>IFERROR(VLOOKUP(0,A50:N56,7,0),10)</f>
        <v>0</v>
      </c>
      <c r="AF25" s="75"/>
      <c r="AJ25" s="30"/>
      <c r="AM25" s="78" t="str">
        <f ca="1">IFERROR(VLOOKUP(-1,A50:N56,11,0),10)</f>
        <v>Xylose</v>
      </c>
      <c r="AN25" s="78"/>
      <c r="AV25" s="75">
        <f>IFERROR(VLOOKUP(-0.9,A50:N56,11,0),10)</f>
        <v>0</v>
      </c>
      <c r="AW25" s="75"/>
      <c r="BE25" s="75">
        <f>IFERROR(VLOOKUP(-0.89,A50:N56,11,0),10)</f>
        <v>10</v>
      </c>
      <c r="BF25" s="75"/>
    </row>
    <row r="26" spans="1:58">
      <c r="A26" s="4">
        <f t="shared" ref="A26:A37" si="6">A50</f>
        <v>0</v>
      </c>
      <c r="B26" s="4">
        <f t="shared" ref="B26:B37" ca="1" si="7">SUM(B94:G94)</f>
        <v>8.1320000000000003E-2</v>
      </c>
      <c r="C26" s="4">
        <f t="shared" ref="C26:C37" ca="1" si="8">SUM(H94:N94)</f>
        <v>0.91870000000000007</v>
      </c>
      <c r="D26" s="4">
        <f ca="1">B26*input_all!$AS$11/1000000</f>
        <v>2.4396</v>
      </c>
      <c r="E26" s="4">
        <f ca="1">C26*input_all!$AS$11/1000000</f>
        <v>27.561000000000003</v>
      </c>
      <c r="F26" s="4">
        <f t="shared" ref="F26:F37" ca="1" si="9">D26+E26</f>
        <v>30.000600000000002</v>
      </c>
      <c r="G26" s="4">
        <f t="shared" ref="G26:G37" ca="1" si="10">0.182*1*F26^0.39</f>
        <v>0.6857282867758745</v>
      </c>
      <c r="H26" s="4">
        <f ca="1">(SUM(B122:N122)*input_all!$AS$11)/1000000</f>
        <v>14.265360000000001</v>
      </c>
      <c r="I26" s="4">
        <f ca="1">H26-G26</f>
        <v>13.579631713224126</v>
      </c>
      <c r="J26" s="4">
        <f ca="1">IF(I26&gt;1,17,-17)</f>
        <v>17</v>
      </c>
      <c r="M26" s="14">
        <v>0</v>
      </c>
      <c r="N26" s="4">
        <f ca="1">J26</f>
        <v>17</v>
      </c>
      <c r="O26" s="4">
        <f>IF(M26=$H$167,23,0)</f>
        <v>0</v>
      </c>
      <c r="T26" s="10"/>
      <c r="U26" s="39" t="str">
        <f t="shared" si="2"/>
        <v>1,1: Molecular weight</v>
      </c>
      <c r="V26" s="18" t="str">
        <f t="shared" si="3"/>
        <v>Microfiltration</v>
      </c>
      <c r="W26" s="18" t="str">
        <f t="shared" si="4"/>
        <v>Nanofiltration</v>
      </c>
      <c r="X26" s="18" t="str">
        <f t="shared" si="5"/>
        <v xml:space="preserve"> - </v>
      </c>
      <c r="Y26" s="22"/>
      <c r="AB26" s="75" t="str">
        <f ca="1">IFERROR(VLOOKUP(0,A50:N56,5,0),10)</f>
        <v>Arabinose</v>
      </c>
      <c r="AC26" s="75"/>
      <c r="AD26" s="7">
        <f>IF(AD24=1,1,0)</f>
        <v>1</v>
      </c>
      <c r="AE26" s="75">
        <f>IFERROR(VLOOKUP(0,A50:N56,8,0),10)</f>
        <v>0</v>
      </c>
      <c r="AF26" s="75"/>
      <c r="AH26" s="76" t="str">
        <f>IFERROR(VLOOKUP(-1,A50:B56,2,0),10)</f>
        <v>-1: Molecular weight</v>
      </c>
      <c r="AI26" s="76"/>
      <c r="AJ26" s="76"/>
      <c r="AK26" s="76"/>
      <c r="AL26" s="76"/>
      <c r="AM26" s="78" t="str">
        <f ca="1">IFERROR(VLOOKUP(-1,A50:N56,9,0),10)</f>
        <v>Arabinose</v>
      </c>
      <c r="AN26" s="78"/>
      <c r="AQ26" s="72" t="str">
        <f>IFERROR(VLOOKUP(-0.9,A50:B56,2,0),10)</f>
        <v>-0,9: Reaction</v>
      </c>
      <c r="AR26" s="72"/>
      <c r="AS26" s="72"/>
      <c r="AT26" s="72"/>
      <c r="AU26" s="72"/>
      <c r="AV26" s="75">
        <f>IFERROR(VLOOKUP(-0.9,A50:N56,9,0),10)</f>
        <v>0</v>
      </c>
      <c r="AW26" s="75"/>
      <c r="AZ26" s="72">
        <f>IFERROR(VLOOKUP(-0.89,A50:B56,2,0),10)</f>
        <v>10</v>
      </c>
      <c r="BA26" s="72"/>
      <c r="BB26" s="72"/>
      <c r="BC26" s="72"/>
      <c r="BD26" s="72"/>
      <c r="BE26" s="75">
        <f>IFERROR(VLOOKUP(-0.89,A50:N56,9,0),10)</f>
        <v>10</v>
      </c>
      <c r="BF26" s="75"/>
    </row>
    <row r="27" spans="1:58">
      <c r="A27" s="4">
        <f t="shared" si="6"/>
        <v>1</v>
      </c>
      <c r="B27" s="4">
        <f t="shared" ca="1" si="7"/>
        <v>4.2199999999999998E-3</v>
      </c>
      <c r="C27" s="4">
        <f t="shared" ca="1" si="8"/>
        <v>0.91448000000000007</v>
      </c>
      <c r="D27" s="4">
        <f ca="1">B27*input_all!$AS$11/1000000</f>
        <v>0.12659999999999999</v>
      </c>
      <c r="E27" s="4">
        <f ca="1">C27*input_all!$AS$11/1000000</f>
        <v>27.434400000000004</v>
      </c>
      <c r="F27" s="4">
        <f t="shared" ca="1" si="9"/>
        <v>27.561000000000003</v>
      </c>
      <c r="G27" s="4">
        <f t="shared" ca="1" si="10"/>
        <v>0.66341674127425632</v>
      </c>
      <c r="H27" s="4">
        <f ca="1">(SUM(B123:N123)*input_all!$AS$11)/1000000</f>
        <v>0.42620999999999998</v>
      </c>
      <c r="I27" s="4">
        <f t="shared" ref="I27:I37" ca="1" si="11">H27-G27</f>
        <v>-0.23720674127425634</v>
      </c>
      <c r="J27" s="4">
        <f t="shared" ref="J27:J37" ca="1" si="12">IF(I27&gt;1,17,-17)</f>
        <v>-17</v>
      </c>
      <c r="M27" s="14">
        <v>1</v>
      </c>
      <c r="N27" s="4">
        <f ca="1">IFERROR(VLOOKUP(M27,$A$26:$J$37,10,0),0)</f>
        <v>-17</v>
      </c>
      <c r="O27" s="4">
        <f t="shared" ref="O27:O40" si="13">IF(M27=$H$167,23,0)</f>
        <v>0</v>
      </c>
      <c r="T27" s="10"/>
      <c r="U27" s="39" t="str">
        <f>IFERROR(B53,0)</f>
        <v>1,11: Vapor pressure</v>
      </c>
      <c r="V27" s="18" t="str">
        <f t="shared" si="3"/>
        <v>Distillation</v>
      </c>
      <c r="W27" s="18" t="str">
        <f t="shared" si="4"/>
        <v>Evaporation</v>
      </c>
      <c r="X27" s="18" t="str">
        <f t="shared" si="5"/>
        <v>Pervaporation …</v>
      </c>
      <c r="Y27" s="22"/>
      <c r="AD27" s="7">
        <f>IF(AD24=1,1,0)</f>
        <v>1</v>
      </c>
      <c r="AE27" s="7">
        <f>IF(AD24=1,1,0)</f>
        <v>1</v>
      </c>
      <c r="AF27" s="7">
        <f>IF(AD24=1,1,0)</f>
        <v>1</v>
      </c>
      <c r="AG27" s="7">
        <f>IF(AD24=1,1,0)</f>
        <v>1</v>
      </c>
      <c r="AH27" s="76"/>
      <c r="AI27" s="76"/>
      <c r="AJ27" s="76"/>
      <c r="AK27" s="76"/>
      <c r="AL27" s="76"/>
      <c r="AM27" s="70">
        <f>IF(AH26=10,0,IF(AQ26=10,2,1))</f>
        <v>1</v>
      </c>
      <c r="AN27" s="70">
        <f>IF(AM27=1,1,0)</f>
        <v>1</v>
      </c>
      <c r="AO27" s="7">
        <f>IF(AM27=1,1,0)</f>
        <v>1</v>
      </c>
      <c r="AP27" s="7">
        <f>IF(AM27=1,1,0)</f>
        <v>1</v>
      </c>
      <c r="AQ27" s="72"/>
      <c r="AR27" s="72"/>
      <c r="AS27" s="72"/>
      <c r="AT27" s="72"/>
      <c r="AU27" s="72"/>
      <c r="AV27" s="7">
        <f>IF(AQ26=10,0,IF(AZ26=10,2,1))</f>
        <v>2</v>
      </c>
      <c r="AW27" s="7">
        <f>IF(AV27=1,1,0)</f>
        <v>0</v>
      </c>
      <c r="AX27" s="7">
        <f>IF(AV27=1,1,0)</f>
        <v>0</v>
      </c>
      <c r="AY27" s="7">
        <f>IF(AV27=1,1,0)</f>
        <v>0</v>
      </c>
      <c r="AZ27" s="72"/>
      <c r="BA27" s="72"/>
      <c r="BB27" s="72"/>
      <c r="BC27" s="72"/>
      <c r="BD27" s="72"/>
      <c r="BE27" s="7">
        <f>IF(AZ26=10,0,2)</f>
        <v>0</v>
      </c>
    </row>
    <row r="28" spans="1:58">
      <c r="A28" s="4">
        <f t="shared" si="6"/>
        <v>1.1000000000000001</v>
      </c>
      <c r="B28" s="4">
        <f t="shared" ca="1" si="7"/>
        <v>0.9</v>
      </c>
      <c r="C28" s="4">
        <f t="shared" ca="1" si="8"/>
        <v>1.448E-2</v>
      </c>
      <c r="D28" s="4">
        <f ca="1">B28*input_all!$AS$11/1000000</f>
        <v>27</v>
      </c>
      <c r="E28" s="4">
        <f ca="1">C28*input_all!$AS$11/1000000</f>
        <v>0.43440000000000001</v>
      </c>
      <c r="F28" s="4">
        <f t="shared" ca="1" si="9"/>
        <v>27.4344</v>
      </c>
      <c r="G28" s="4">
        <f t="shared" ca="1" si="10"/>
        <v>0.66222659787574678</v>
      </c>
      <c r="H28" s="4">
        <f ca="1">(SUM(B124:N124)*input_all!$AS$11)/1000000</f>
        <v>0.27429000000000003</v>
      </c>
      <c r="I28" s="4">
        <f t="shared" ca="1" si="11"/>
        <v>-0.38793659787574675</v>
      </c>
      <c r="J28" s="4">
        <f t="shared" ca="1" si="12"/>
        <v>-17</v>
      </c>
      <c r="M28" s="14">
        <v>0.89</v>
      </c>
      <c r="N28" s="4">
        <f t="shared" ref="N28:N40" si="14">IFERROR(VLOOKUP(M28,$A$26:$J$37,10,0),0)</f>
        <v>0</v>
      </c>
      <c r="O28" s="4">
        <f t="shared" si="13"/>
        <v>0</v>
      </c>
      <c r="T28" s="10"/>
      <c r="U28" s="39" t="str">
        <f t="shared" ref="U28:U30" si="15">IFERROR(B54,0)</f>
        <v>-1: Molecular weight</v>
      </c>
      <c r="V28" s="18" t="str">
        <f t="shared" si="3"/>
        <v>Microfiltration</v>
      </c>
      <c r="W28" s="18" t="str">
        <f t="shared" si="4"/>
        <v>Nanofiltration</v>
      </c>
      <c r="X28" s="18" t="str">
        <f t="shared" si="5"/>
        <v xml:space="preserve"> - </v>
      </c>
      <c r="Y28" s="22"/>
      <c r="AH28" s="76"/>
      <c r="AI28" s="76"/>
      <c r="AJ28" s="76"/>
      <c r="AK28" s="76"/>
      <c r="AL28" s="76"/>
      <c r="AM28" s="78" t="str">
        <f ca="1">IFERROR(VLOOKUP(-1,A50:N56,10,0),10)</f>
        <v>Glucose</v>
      </c>
      <c r="AN28" s="78"/>
      <c r="AQ28" s="72"/>
      <c r="AR28" s="72"/>
      <c r="AS28" s="72"/>
      <c r="AT28" s="72"/>
      <c r="AU28" s="72"/>
      <c r="AV28" s="75">
        <f>IFERROR(VLOOKUP(-0.9,A50:N56,10,0),10)</f>
        <v>0</v>
      </c>
      <c r="AW28" s="75"/>
      <c r="AZ28" s="72"/>
      <c r="BA28" s="72"/>
      <c r="BB28" s="72"/>
      <c r="BC28" s="72"/>
      <c r="BD28" s="72"/>
      <c r="BE28" s="75">
        <f>IFERROR(VLOOKUP(-0.89,A50:N56,10,0),10)</f>
        <v>10</v>
      </c>
      <c r="BF28" s="75"/>
    </row>
    <row r="29" spans="1:58">
      <c r="A29" s="4">
        <f t="shared" si="6"/>
        <v>1.1100000000000001</v>
      </c>
      <c r="B29" s="4">
        <f t="shared" ca="1" si="7"/>
        <v>1.234E-2</v>
      </c>
      <c r="C29" s="4">
        <f t="shared" ca="1" si="8"/>
        <v>2.14E-3</v>
      </c>
      <c r="D29" s="4">
        <f ca="1">B29*input_all!$AS$11/1000000</f>
        <v>0.37019999999999997</v>
      </c>
      <c r="E29" s="4">
        <f ca="1">C29*input_all!$AS$11/1000000</f>
        <v>6.4199999999999993E-2</v>
      </c>
      <c r="F29" s="4">
        <f t="shared" ca="1" si="9"/>
        <v>0.43439999999999995</v>
      </c>
      <c r="G29" s="4">
        <f t="shared" ca="1" si="10"/>
        <v>0.13147658540874105</v>
      </c>
      <c r="H29" s="4">
        <f ca="1">(SUM(B125:N125)*input_all!$AS$11)/1000000</f>
        <v>0.19869000000000001</v>
      </c>
      <c r="I29" s="4">
        <f t="shared" ca="1" si="11"/>
        <v>6.7213414591258958E-2</v>
      </c>
      <c r="J29" s="30">
        <f t="shared" ca="1" si="12"/>
        <v>-17</v>
      </c>
      <c r="M29" s="14">
        <v>0.9</v>
      </c>
      <c r="N29" s="4">
        <f>IFERROR(VLOOKUP(M29,$A$26:$J$37,10,0),0)</f>
        <v>0</v>
      </c>
      <c r="O29" s="4">
        <f t="shared" si="13"/>
        <v>0</v>
      </c>
      <c r="T29" s="10"/>
      <c r="U29" s="39" t="str">
        <f t="shared" si="15"/>
        <v>-0,9: Reaction</v>
      </c>
      <c r="V29" s="18" t="str">
        <f t="shared" si="3"/>
        <v>Fermentation</v>
      </c>
      <c r="W29" s="18" t="str">
        <f t="shared" si="4"/>
        <v xml:space="preserve"> - </v>
      </c>
      <c r="X29" s="18" t="str">
        <f t="shared" si="5"/>
        <v xml:space="preserve"> - </v>
      </c>
      <c r="Y29" s="22"/>
      <c r="AH29" s="75" t="str">
        <f ca="1">IFERROR(VLOOKUP(-1,A50:N56,3,0),10)</f>
        <v>HMF</v>
      </c>
      <c r="AI29" s="75"/>
      <c r="AJ29" s="7">
        <f>IF(AH26=10,0,IF(AH32=10,2,1))</f>
        <v>2</v>
      </c>
      <c r="AK29" s="75">
        <f>IFERROR(VLOOKUP(-1,A50:N56,6,0),10)</f>
        <v>0</v>
      </c>
      <c r="AL29" s="75"/>
      <c r="AM29" s="75">
        <f>IFERROR(VLOOKUP(-1,A50:N56,12,0),10)</f>
        <v>0</v>
      </c>
      <c r="AN29" s="75"/>
      <c r="AQ29" s="75" t="str">
        <f>IFERROR(VLOOKUP(-0.9,A50:N56,3,0),10)</f>
        <v>Water</v>
      </c>
      <c r="AR29" s="75"/>
      <c r="AS29" s="7">
        <f>IF(AQ26=10,0,IF(AQ32=10,2,1))</f>
        <v>1</v>
      </c>
      <c r="AT29" s="75">
        <f>IFERROR(VLOOKUP(-0.9,A50:N56,6,0),10)</f>
        <v>0</v>
      </c>
      <c r="AU29" s="75"/>
      <c r="AV29" s="75">
        <f>IFERROR(VLOOKUP(-0.9,A50:N56,12,0),10)</f>
        <v>0</v>
      </c>
      <c r="AW29" s="75"/>
      <c r="AZ29" s="75">
        <f>IFERROR(VLOOKUP(-0.89,A50:N56,3,0),10)</f>
        <v>10</v>
      </c>
      <c r="BA29" s="75"/>
      <c r="BB29" s="7">
        <f>IF(AZ26=10,0,2)</f>
        <v>0</v>
      </c>
    </row>
    <row r="30" spans="1:58">
      <c r="A30" s="4">
        <f t="shared" si="6"/>
        <v>-1</v>
      </c>
      <c r="B30" s="4">
        <f t="shared" ca="1" si="7"/>
        <v>6.3000000000000003E-4</v>
      </c>
      <c r="C30" s="4">
        <f t="shared" ca="1" si="8"/>
        <v>8.0689999999999998E-2</v>
      </c>
      <c r="D30" s="4">
        <f ca="1">B30*input_all!$AS$11/1000000</f>
        <v>1.89E-2</v>
      </c>
      <c r="E30" s="4">
        <f ca="1">C30*input_all!$AS$11/1000000</f>
        <v>2.4207000000000001</v>
      </c>
      <c r="F30" s="4">
        <f t="shared" ca="1" si="9"/>
        <v>2.4396</v>
      </c>
      <c r="G30" s="4">
        <f t="shared" ca="1" si="10"/>
        <v>0.25770666551735377</v>
      </c>
      <c r="H30" s="4">
        <f ca="1">(SUM(B126:N126)*input_all!$AS$11)/1000000</f>
        <v>13.83915</v>
      </c>
      <c r="I30" s="4">
        <f t="shared" ca="1" si="11"/>
        <v>13.581443334482646</v>
      </c>
      <c r="J30" s="4">
        <f t="shared" ca="1" si="12"/>
        <v>17</v>
      </c>
      <c r="M30" s="14">
        <v>0.91</v>
      </c>
      <c r="N30" s="4">
        <f>IFERROR(VLOOKUP(M30,$A$26:$J$37,10,0),0)</f>
        <v>0</v>
      </c>
      <c r="O30" s="4">
        <f t="shared" si="13"/>
        <v>0</v>
      </c>
      <c r="T30" s="10"/>
      <c r="U30" s="39" t="str">
        <f t="shared" si="15"/>
        <v>-0,91: Vapor pressure</v>
      </c>
      <c r="V30" s="18" t="str">
        <f t="shared" si="3"/>
        <v>Distillation</v>
      </c>
      <c r="W30" s="18" t="str">
        <f t="shared" si="4"/>
        <v>Evaporation</v>
      </c>
      <c r="X30" s="18" t="str">
        <f t="shared" si="5"/>
        <v>Pervaporation …</v>
      </c>
      <c r="Y30" s="22"/>
      <c r="AH30" s="75">
        <f>IFERROR(VLOOKUP(-1,A50:N56,4,0),10)</f>
        <v>0</v>
      </c>
      <c r="AI30" s="75"/>
      <c r="AJ30" s="7">
        <f>IF(AJ29=1,1,0)</f>
        <v>0</v>
      </c>
      <c r="AK30" s="75">
        <f>IFERROR(VLOOKUP(-1,A50:N56,7,0),10)</f>
        <v>0</v>
      </c>
      <c r="AL30" s="75"/>
      <c r="AQ30" s="75" t="str">
        <f>IFERROR(VLOOKUP(-0.9,A50:N56,4,0),10)</f>
        <v>Ethanol</v>
      </c>
      <c r="AR30" s="75"/>
      <c r="AS30" s="7">
        <f>IF(AS29=1,1,0)</f>
        <v>1</v>
      </c>
      <c r="AZ30" s="75">
        <f>IFERROR(VLOOKUP(-0.89,A50:N56,4,0),10)</f>
        <v>10</v>
      </c>
      <c r="BA30" s="75"/>
    </row>
    <row r="31" spans="1:58">
      <c r="A31" s="4">
        <f t="shared" si="6"/>
        <v>-0.9</v>
      </c>
      <c r="B31" s="4">
        <f t="shared" ca="1" si="7"/>
        <v>6.6659999999999997E-2</v>
      </c>
      <c r="C31" s="4">
        <f t="shared" ca="1" si="8"/>
        <v>1.4029999999999999E-2</v>
      </c>
      <c r="D31" s="4">
        <f ca="1">B31*input_all!$AS$11/1000000</f>
        <v>1.9998</v>
      </c>
      <c r="E31" s="4">
        <f ca="1">C31*input_all!$AS$11/1000000</f>
        <v>0.4209</v>
      </c>
      <c r="F31" s="4">
        <f t="shared" ca="1" si="9"/>
        <v>2.4207000000000001</v>
      </c>
      <c r="G31" s="4">
        <f t="shared" ca="1" si="10"/>
        <v>0.25692618387110172</v>
      </c>
      <c r="H31" s="4">
        <f ca="1">(SUM(B127:N127)*input_all!$AS$11)/1000000</f>
        <v>13.65015</v>
      </c>
      <c r="I31" s="4">
        <f t="shared" ca="1" si="11"/>
        <v>13.393223816128899</v>
      </c>
      <c r="J31" s="4">
        <f t="shared" ca="1" si="12"/>
        <v>17</v>
      </c>
      <c r="M31" s="14">
        <v>1.0900000000000001</v>
      </c>
      <c r="N31" s="4">
        <f t="shared" si="14"/>
        <v>0</v>
      </c>
      <c r="O31" s="4">
        <f t="shared" si="13"/>
        <v>0</v>
      </c>
      <c r="T31" s="10"/>
      <c r="U31" s="39"/>
      <c r="V31" s="18"/>
      <c r="W31" s="18"/>
      <c r="X31" s="18"/>
      <c r="Y31" s="22"/>
      <c r="AH31" s="75">
        <f>IFERROR(VLOOKUP(-1,A50:N56,5,0),10)</f>
        <v>0</v>
      </c>
      <c r="AI31" s="75"/>
      <c r="AJ31" s="7">
        <f>IF(AJ29=1,1,0)</f>
        <v>0</v>
      </c>
      <c r="AL31" s="6"/>
      <c r="AM31" s="75">
        <f>IFERROR(VLOOKUP(-1.1,A50:N56,11,0),10)</f>
        <v>10</v>
      </c>
      <c r="AN31" s="75"/>
      <c r="AQ31" s="75">
        <f>IFERROR(VLOOKUP(-0.9,A50:N56,5,0),10)</f>
        <v>0</v>
      </c>
      <c r="AR31" s="75"/>
      <c r="AS31" s="7">
        <f>IF(AS29=1,1,0)</f>
        <v>1</v>
      </c>
      <c r="AV31" s="75">
        <f>IFERROR(VLOOKUP(-0.91,A50:N56,11,0),10)</f>
        <v>0</v>
      </c>
      <c r="AW31" s="75"/>
      <c r="AZ31" s="75">
        <f>IFERROR(VLOOKUP(-0.89,A50:N56,5,0),10)</f>
        <v>10</v>
      </c>
      <c r="BA31" s="75"/>
    </row>
    <row r="32" spans="1:58">
      <c r="A32" s="4">
        <f t="shared" si="6"/>
        <v>-0.91</v>
      </c>
      <c r="B32" s="4">
        <f t="shared" ca="1" si="7"/>
        <v>5.8200000000000002E-2</v>
      </c>
      <c r="C32" s="4">
        <f t="shared" ca="1" si="8"/>
        <v>8.4600000000000005E-3</v>
      </c>
      <c r="D32" s="4">
        <f ca="1">B32*input_all!$AS$11/1000000</f>
        <v>1.746</v>
      </c>
      <c r="E32" s="4">
        <f ca="1">C32*input_all!$AS$11/1000000</f>
        <v>0.25380000000000003</v>
      </c>
      <c r="F32" s="4">
        <f t="shared" ca="1" si="9"/>
        <v>1.9998</v>
      </c>
      <c r="G32" s="4">
        <f t="shared" ca="1" si="10"/>
        <v>0.23848229804614055</v>
      </c>
      <c r="H32" s="4">
        <f ca="1">(SUM(B128:N128)*input_all!$AS$11)/1000000</f>
        <v>13.4397</v>
      </c>
      <c r="I32" s="4">
        <f t="shared" ca="1" si="11"/>
        <v>13.20121770195386</v>
      </c>
      <c r="J32" s="4">
        <f t="shared" ca="1" si="12"/>
        <v>17</v>
      </c>
      <c r="M32" s="14">
        <v>1.1000000000000001</v>
      </c>
      <c r="N32" s="4">
        <f t="shared" ca="1" si="14"/>
        <v>-17</v>
      </c>
      <c r="O32" s="4">
        <f t="shared" si="13"/>
        <v>0</v>
      </c>
      <c r="T32" s="10"/>
      <c r="U32" s="40"/>
      <c r="V32" s="36"/>
      <c r="W32" s="36"/>
      <c r="X32" s="36"/>
      <c r="Y32" s="22"/>
      <c r="AH32" s="72">
        <f>IFERROR(VLOOKUP(-1.1,A50:B56,2,0),10)</f>
        <v>10</v>
      </c>
      <c r="AI32" s="72"/>
      <c r="AJ32" s="72"/>
      <c r="AK32" s="72"/>
      <c r="AL32" s="72"/>
      <c r="AM32" s="78">
        <f>IFERROR(VLOOKUP(-1.1,A50:N56,9,0),10)</f>
        <v>10</v>
      </c>
      <c r="AN32" s="78"/>
      <c r="AQ32" s="72" t="str">
        <f>IFERROR(VLOOKUP(-0.91,A50:B56,2,0),10)</f>
        <v>-0,91: Vapor pressure</v>
      </c>
      <c r="AR32" s="72"/>
      <c r="AS32" s="72"/>
      <c r="AT32" s="72"/>
      <c r="AU32" s="72"/>
      <c r="AV32" s="75" t="str">
        <f>IFERROR(VLOOKUP(-0.91,A50:N56,9,0),10)</f>
        <v>Ethanol</v>
      </c>
      <c r="AW32" s="75"/>
    </row>
    <row r="33" spans="1:49">
      <c r="A33" s="4">
        <f t="shared" si="6"/>
        <v>0</v>
      </c>
      <c r="B33" s="4">
        <f t="shared" ca="1" si="7"/>
        <v>0</v>
      </c>
      <c r="C33" s="4">
        <f t="shared" ca="1" si="8"/>
        <v>0</v>
      </c>
      <c r="D33" s="4">
        <f ca="1">B33*input_all!$AS$11/1000000</f>
        <v>0</v>
      </c>
      <c r="E33" s="4">
        <f ca="1">C33*input_all!$AS$11/1000000</f>
        <v>0</v>
      </c>
      <c r="F33" s="4">
        <f t="shared" ca="1" si="9"/>
        <v>0</v>
      </c>
      <c r="G33" s="4">
        <f t="shared" ca="1" si="10"/>
        <v>0</v>
      </c>
      <c r="H33" s="4">
        <f ca="1">(SUM(B129:N129)*input_all!$AS$11)/1000000</f>
        <v>0</v>
      </c>
      <c r="I33" s="4">
        <f t="shared" ca="1" si="11"/>
        <v>0</v>
      </c>
      <c r="J33" s="4">
        <f t="shared" ca="1" si="12"/>
        <v>-17</v>
      </c>
      <c r="M33" s="14">
        <v>1.1100000000000001</v>
      </c>
      <c r="N33" s="4">
        <f t="shared" ca="1" si="14"/>
        <v>-17</v>
      </c>
      <c r="O33" s="4">
        <f t="shared" si="13"/>
        <v>0</v>
      </c>
      <c r="T33" s="22"/>
      <c r="U33" s="37"/>
      <c r="V33" s="37"/>
      <c r="W33" s="37"/>
      <c r="X33" s="37"/>
      <c r="Y33" s="22"/>
      <c r="AD33" s="7"/>
      <c r="AH33" s="72"/>
      <c r="AI33" s="72"/>
      <c r="AJ33" s="72"/>
      <c r="AK33" s="72"/>
      <c r="AL33" s="72"/>
      <c r="AM33" s="7">
        <f>IF(AH32=10,0,IF(AN37=10,2,1))</f>
        <v>0</v>
      </c>
      <c r="AN33" s="7">
        <f>IF(AM33=1,1,0)</f>
        <v>0</v>
      </c>
      <c r="AO33" s="7">
        <f>IF(AM33=1,1,0)</f>
        <v>0</v>
      </c>
      <c r="AP33" s="7">
        <f>IF(AM33=1,1,0)</f>
        <v>0</v>
      </c>
      <c r="AQ33" s="72"/>
      <c r="AR33" s="72"/>
      <c r="AS33" s="72"/>
      <c r="AT33" s="72"/>
      <c r="AU33" s="72"/>
      <c r="AV33" s="7">
        <f>IF(AQ32=10,0,2)</f>
        <v>2</v>
      </c>
    </row>
    <row r="34" spans="1:49">
      <c r="A34" s="4">
        <f t="shared" si="6"/>
        <v>0</v>
      </c>
      <c r="B34" s="4">
        <f t="shared" ca="1" si="7"/>
        <v>0</v>
      </c>
      <c r="C34" s="4">
        <f t="shared" ca="1" si="8"/>
        <v>0</v>
      </c>
      <c r="D34" s="4">
        <f ca="1">B34*input_all!$AS$11/1000000</f>
        <v>0</v>
      </c>
      <c r="E34" s="4">
        <f ca="1">C34*input_all!$AS$11/1000000</f>
        <v>0</v>
      </c>
      <c r="F34" s="4">
        <f t="shared" ca="1" si="9"/>
        <v>0</v>
      </c>
      <c r="G34" s="4">
        <f t="shared" ca="1" si="10"/>
        <v>0</v>
      </c>
      <c r="H34" s="4">
        <f ca="1">(SUM(B130:N130)*input_all!$AS$11)/1000000</f>
        <v>0</v>
      </c>
      <c r="I34" s="4">
        <f t="shared" ca="1" si="11"/>
        <v>0</v>
      </c>
      <c r="J34" s="4">
        <f t="shared" ca="1" si="12"/>
        <v>-17</v>
      </c>
      <c r="M34" s="14">
        <f>-1*M27</f>
        <v>-1</v>
      </c>
      <c r="N34" s="4">
        <f t="shared" ca="1" si="14"/>
        <v>17</v>
      </c>
      <c r="O34" s="4">
        <f t="shared" si="13"/>
        <v>0</v>
      </c>
      <c r="T34" s="22"/>
      <c r="U34" s="22"/>
      <c r="V34" s="42">
        <v>1</v>
      </c>
      <c r="W34" s="42">
        <v>0</v>
      </c>
      <c r="X34" s="22"/>
      <c r="Y34" s="22"/>
      <c r="AD34" s="7"/>
      <c r="AH34" s="72"/>
      <c r="AI34" s="72"/>
      <c r="AJ34" s="72"/>
      <c r="AK34" s="72"/>
      <c r="AL34" s="72"/>
      <c r="AM34" s="78">
        <f>IFERROR(VLOOKUP(-1.1,A50:N56,10,0),10)</f>
        <v>10</v>
      </c>
      <c r="AN34" s="78"/>
      <c r="AP34" s="7">
        <f>IF(AM33=1,1,0)</f>
        <v>0</v>
      </c>
      <c r="AQ34" s="72"/>
      <c r="AR34" s="72"/>
      <c r="AS34" s="72"/>
      <c r="AT34" s="72"/>
      <c r="AU34" s="72"/>
      <c r="AV34" s="75">
        <f>IFERROR(VLOOKUP(-0.91,A50:N56,10,0),10)</f>
        <v>0</v>
      </c>
      <c r="AW34" s="75"/>
    </row>
    <row r="35" spans="1:49">
      <c r="A35" s="4">
        <f t="shared" si="6"/>
        <v>0</v>
      </c>
      <c r="B35" s="4">
        <f t="shared" ca="1" si="7"/>
        <v>0</v>
      </c>
      <c r="C35" s="4">
        <f t="shared" ca="1" si="8"/>
        <v>0</v>
      </c>
      <c r="D35" s="4">
        <f ca="1">B35*input_all!$AS$11/1000000</f>
        <v>0</v>
      </c>
      <c r="E35" s="4">
        <f ca="1">C35*input_all!$AS$11/1000000</f>
        <v>0</v>
      </c>
      <c r="F35" s="4">
        <f t="shared" ca="1" si="9"/>
        <v>0</v>
      </c>
      <c r="G35" s="4">
        <f t="shared" ca="1" si="10"/>
        <v>0</v>
      </c>
      <c r="H35" s="4">
        <f ca="1">(SUM(B131:N131)*input_all!$AS$11)/1000000</f>
        <v>0</v>
      </c>
      <c r="I35" s="4">
        <f t="shared" ca="1" si="11"/>
        <v>0</v>
      </c>
      <c r="J35" s="4">
        <f t="shared" ca="1" si="12"/>
        <v>-17</v>
      </c>
      <c r="M35" s="14">
        <f t="shared" ref="M35:M40" si="16">-1*M28</f>
        <v>-0.89</v>
      </c>
      <c r="N35" s="4">
        <f t="shared" si="14"/>
        <v>0</v>
      </c>
      <c r="O35" s="4">
        <f t="shared" si="13"/>
        <v>0</v>
      </c>
      <c r="AD35" s="7"/>
      <c r="AH35" s="75">
        <f>IFERROR(VLOOKUP(-1.1,A50:N56,3,0),10)</f>
        <v>10</v>
      </c>
      <c r="AI35" s="75"/>
      <c r="AJ35" s="7">
        <f>IF(AH32=10,0,IF(AH38=10,2,1))</f>
        <v>0</v>
      </c>
      <c r="AK35" s="75">
        <f>IFERROR(VLOOKUP(-1.1,A50:N56,6,0),10)</f>
        <v>10</v>
      </c>
      <c r="AL35" s="75"/>
      <c r="AM35" s="75">
        <f>IFERROR(VLOOKUP(-1.1,A50:N56,12,0),10)</f>
        <v>10</v>
      </c>
      <c r="AN35" s="75"/>
      <c r="AP35" s="7">
        <f>IF(AM33=1,1,0)</f>
        <v>0</v>
      </c>
      <c r="AQ35" s="75" t="str">
        <f>IFERROR(VLOOKUP(-0.91,A50:N56,3,0),10)</f>
        <v>Water</v>
      </c>
      <c r="AR35" s="75"/>
      <c r="AS35" s="7">
        <f>IF(AQ32=10,0,2)</f>
        <v>2</v>
      </c>
      <c r="AT35" s="75">
        <f>IFERROR(VLOOKUP(-0.91,A50:N56,5,0),10)</f>
        <v>0</v>
      </c>
      <c r="AU35" s="75"/>
    </row>
    <row r="36" spans="1:49">
      <c r="A36" s="4">
        <f t="shared" si="6"/>
        <v>0</v>
      </c>
      <c r="B36" s="4">
        <f t="shared" ca="1" si="7"/>
        <v>0</v>
      </c>
      <c r="C36" s="4">
        <f t="shared" ca="1" si="8"/>
        <v>0</v>
      </c>
      <c r="D36" s="4">
        <f ca="1">B36*input_all!$AS$11/1000000</f>
        <v>0</v>
      </c>
      <c r="E36" s="4">
        <f ca="1">C36*input_all!$AS$11/1000000</f>
        <v>0</v>
      </c>
      <c r="F36" s="4">
        <f t="shared" ca="1" si="9"/>
        <v>0</v>
      </c>
      <c r="G36" s="4">
        <f t="shared" ca="1" si="10"/>
        <v>0</v>
      </c>
      <c r="H36" s="4">
        <f ca="1">(SUM(B132:N132)*input_all!$AS$11)/1000000</f>
        <v>0</v>
      </c>
      <c r="I36" s="4">
        <f t="shared" ca="1" si="11"/>
        <v>0</v>
      </c>
      <c r="J36" s="4">
        <f t="shared" ca="1" si="12"/>
        <v>-17</v>
      </c>
      <c r="M36" s="14">
        <f t="shared" si="16"/>
        <v>-0.9</v>
      </c>
      <c r="N36" s="4">
        <f t="shared" ca="1" si="14"/>
        <v>17</v>
      </c>
      <c r="O36" s="4">
        <f t="shared" si="13"/>
        <v>23</v>
      </c>
      <c r="AD36" s="7"/>
      <c r="AH36" s="75">
        <f>IFERROR(VLOOKUP(-1.1,A50:N56,4,0),10)</f>
        <v>10</v>
      </c>
      <c r="AI36" s="75"/>
      <c r="AJ36" s="7">
        <f>IF(AJ35=1,1,0)</f>
        <v>0</v>
      </c>
      <c r="AK36" s="7"/>
      <c r="AP36" s="7">
        <f>IF(AM33=1,1,0)</f>
        <v>0</v>
      </c>
      <c r="AQ36" s="75">
        <f>IFERROR(VLOOKUP(-0.91,A50:N56,4,0),10)</f>
        <v>0</v>
      </c>
      <c r="AR36" s="75"/>
      <c r="AS36" s="75"/>
      <c r="AT36" s="75"/>
    </row>
    <row r="37" spans="1:49">
      <c r="A37" s="4">
        <f t="shared" si="6"/>
        <v>0</v>
      </c>
      <c r="B37" s="4">
        <f t="shared" ca="1" si="7"/>
        <v>0</v>
      </c>
      <c r="C37" s="4">
        <f t="shared" ca="1" si="8"/>
        <v>0</v>
      </c>
      <c r="D37" s="4">
        <f ca="1">B37*input_all!$AS$11/1000000</f>
        <v>0</v>
      </c>
      <c r="E37" s="4">
        <f ca="1">C37*input_all!$AS$11/1000000</f>
        <v>0</v>
      </c>
      <c r="F37" s="4">
        <f t="shared" ca="1" si="9"/>
        <v>0</v>
      </c>
      <c r="G37" s="4">
        <f t="shared" ca="1" si="10"/>
        <v>0</v>
      </c>
      <c r="H37" s="4">
        <f ca="1">(SUM(B133:N133)*input_all!$AS$11)/1000000</f>
        <v>0</v>
      </c>
      <c r="I37" s="4">
        <f t="shared" ca="1" si="11"/>
        <v>0</v>
      </c>
      <c r="J37" s="4">
        <f t="shared" ca="1" si="12"/>
        <v>-17</v>
      </c>
      <c r="M37" s="14">
        <f t="shared" si="16"/>
        <v>-0.91</v>
      </c>
      <c r="N37" s="4">
        <f t="shared" ca="1" si="14"/>
        <v>17</v>
      </c>
      <c r="O37" s="4">
        <f t="shared" si="13"/>
        <v>0</v>
      </c>
      <c r="AC37" s="76"/>
      <c r="AD37" s="76"/>
      <c r="AE37" s="76"/>
      <c r="AG37" s="5"/>
      <c r="AH37" s="75">
        <f>IFERROR(VLOOKUP(-1.1,A50:N56,5,0),10)</f>
        <v>10</v>
      </c>
      <c r="AI37" s="75"/>
      <c r="AJ37" s="7">
        <f>IF(AJ35=1,1,0)</f>
        <v>0</v>
      </c>
      <c r="AM37" s="13">
        <f>IFERROR(VLOOKUP(-1.11,A50:N56,11,0),10)</f>
        <v>10</v>
      </c>
      <c r="AN37" s="72">
        <f>IFERROR(VLOOKUP(-1.09,A50:B56,2,0),10)</f>
        <v>10</v>
      </c>
      <c r="AO37" s="72"/>
      <c r="AP37" s="72"/>
      <c r="AQ37" s="72"/>
      <c r="AR37" s="72"/>
      <c r="AS37" s="75">
        <f>IFERROR(VLOOKUP(-1.09,A50:N56,9,0),10)</f>
        <v>10</v>
      </c>
      <c r="AT37" s="75"/>
    </row>
    <row r="38" spans="1:49">
      <c r="M38" s="14">
        <f t="shared" si="16"/>
        <v>-1.0900000000000001</v>
      </c>
      <c r="N38" s="4">
        <f t="shared" si="14"/>
        <v>0</v>
      </c>
      <c r="O38" s="4">
        <f t="shared" si="13"/>
        <v>0</v>
      </c>
      <c r="AC38" s="76"/>
      <c r="AD38" s="76"/>
      <c r="AE38" s="76"/>
      <c r="AH38" s="72">
        <f>IFERROR(VLOOKUP(-1.11,A50:B56,2,0),10)</f>
        <v>10</v>
      </c>
      <c r="AI38" s="72"/>
      <c r="AJ38" s="72"/>
      <c r="AK38" s="72"/>
      <c r="AL38" s="72"/>
      <c r="AM38" s="13">
        <f>IFERROR(VLOOKUP(-1.11,A50:N56,9,0),10)</f>
        <v>10</v>
      </c>
      <c r="AN38" s="72"/>
      <c r="AO38" s="72"/>
      <c r="AP38" s="72"/>
      <c r="AQ38" s="72"/>
      <c r="AR38" s="72"/>
      <c r="AS38" s="7">
        <f>IF(AN37=10,0,2)</f>
        <v>0</v>
      </c>
    </row>
    <row r="39" spans="1:49">
      <c r="M39" s="14">
        <f>-1*M32</f>
        <v>-1.1000000000000001</v>
      </c>
      <c r="N39" s="4">
        <f t="shared" si="14"/>
        <v>0</v>
      </c>
      <c r="O39" s="4">
        <f t="shared" si="13"/>
        <v>0</v>
      </c>
      <c r="AC39" s="76"/>
      <c r="AD39" s="76"/>
      <c r="AE39" s="76"/>
      <c r="AH39" s="72"/>
      <c r="AI39" s="72"/>
      <c r="AJ39" s="72"/>
      <c r="AK39" s="72"/>
      <c r="AL39" s="72"/>
      <c r="AM39" s="7">
        <f>IF(AH38=10,0,2)</f>
        <v>0</v>
      </c>
      <c r="AN39" s="72"/>
      <c r="AO39" s="72"/>
      <c r="AP39" s="72"/>
      <c r="AQ39" s="72"/>
      <c r="AR39" s="72"/>
      <c r="AS39" s="75">
        <f>IFERROR(VLOOKUP(-1.09,A50:N56,10,0),10)</f>
        <v>10</v>
      </c>
      <c r="AT39" s="75"/>
    </row>
    <row r="40" spans="1:49">
      <c r="M40" s="14">
        <f t="shared" si="16"/>
        <v>-1.1100000000000001</v>
      </c>
      <c r="N40" s="4">
        <f t="shared" si="14"/>
        <v>0</v>
      </c>
      <c r="O40" s="4">
        <f t="shared" si="13"/>
        <v>0</v>
      </c>
      <c r="AH40" s="72"/>
      <c r="AI40" s="72"/>
      <c r="AJ40" s="72"/>
      <c r="AK40" s="72"/>
      <c r="AL40" s="72"/>
      <c r="AM40" s="13">
        <f>IFERROR(VLOOKUP(-1.11,A50:N56,10,0),10)</f>
        <v>10</v>
      </c>
      <c r="AN40" s="75">
        <f>IFERROR(VLOOKUP(-1.09,A50:N56,3,0),10)</f>
        <v>10</v>
      </c>
      <c r="AO40" s="75"/>
      <c r="AP40" s="7">
        <f>IF(AN37=10,0,2)</f>
        <v>0</v>
      </c>
      <c r="AS40" s="75">
        <f>IFERROR(VLOOKUP(-1.09,A50:N56,11,0),10)</f>
        <v>10</v>
      </c>
      <c r="AT40" s="75"/>
    </row>
    <row r="41" spans="1:49">
      <c r="A41" s="4">
        <v>1</v>
      </c>
      <c r="B41" s="15" t="str">
        <f ca="1">input_all!AR3</f>
        <v>Acetic acid</v>
      </c>
      <c r="C41" s="4">
        <v>1</v>
      </c>
      <c r="D41" s="3" t="s">
        <v>53</v>
      </c>
      <c r="E41" s="4">
        <v>1</v>
      </c>
      <c r="G41" s="4" t="s">
        <v>100</v>
      </c>
      <c r="AH41" s="75">
        <f>IFERROR(VLOOKUP(-1.11,A50:N56,3,0),10)</f>
        <v>10</v>
      </c>
      <c r="AI41" s="75"/>
      <c r="AJ41" s="7">
        <f>IF(AH38=10,0,2)</f>
        <v>0</v>
      </c>
      <c r="AN41" s="75">
        <f>IFERROR(VLOOKUP(-1.09,A50:N56,4,0),10)</f>
        <v>10</v>
      </c>
      <c r="AO41" s="75"/>
    </row>
    <row r="42" spans="1:49">
      <c r="A42" s="4">
        <v>2</v>
      </c>
      <c r="B42" s="15" t="str">
        <f ca="1">input_all!AR4</f>
        <v>Formic acid</v>
      </c>
      <c r="C42" s="4">
        <v>2</v>
      </c>
      <c r="D42" s="4" t="s">
        <v>54</v>
      </c>
      <c r="E42" s="4">
        <v>2</v>
      </c>
      <c r="G42" s="4" t="s">
        <v>80</v>
      </c>
      <c r="AH42" s="75">
        <f>IFERROR(VLOOKUP(-1.11,A50:N56,4,0),10)</f>
        <v>10</v>
      </c>
      <c r="AI42" s="75"/>
      <c r="AN42" s="75">
        <f>IFERROR(VLOOKUP(-1.09,A50:N56,5,0),10)</f>
        <v>10</v>
      </c>
      <c r="AO42" s="75"/>
    </row>
    <row r="43" spans="1:49">
      <c r="A43" s="4">
        <v>3</v>
      </c>
      <c r="B43" s="15" t="str">
        <f ca="1">input_all!AR5</f>
        <v>Furfural</v>
      </c>
      <c r="C43" s="4">
        <v>3</v>
      </c>
      <c r="D43" s="4" t="s">
        <v>55</v>
      </c>
      <c r="E43" s="4">
        <v>3</v>
      </c>
      <c r="G43" s="4" t="s">
        <v>104</v>
      </c>
      <c r="L43" s="75"/>
      <c r="M43" s="75"/>
      <c r="AH43" s="75">
        <f>IFERROR(VLOOKUP(-1.11,A50:N56,5,0),10)</f>
        <v>10</v>
      </c>
      <c r="AI43" s="75"/>
    </row>
    <row r="44" spans="1:49">
      <c r="A44" s="4">
        <v>4</v>
      </c>
      <c r="B44" s="15" t="str">
        <f ca="1">input_all!AR6</f>
        <v>HMF</v>
      </c>
      <c r="C44" s="4">
        <v>4</v>
      </c>
      <c r="D44" s="14" t="str">
        <f>input_all!BH1</f>
        <v>User1</v>
      </c>
    </row>
    <row r="45" spans="1:49">
      <c r="A45" s="4">
        <v>5</v>
      </c>
      <c r="B45" s="15" t="str">
        <f ca="1">input_all!AR7</f>
        <v>Xylose</v>
      </c>
      <c r="C45" s="4">
        <v>5</v>
      </c>
      <c r="D45" s="14" t="str">
        <f>input_all!BL1</f>
        <v>User2</v>
      </c>
    </row>
    <row r="46" spans="1:49">
      <c r="A46" s="4">
        <v>6</v>
      </c>
      <c r="B46" s="15" t="str">
        <f ca="1">input_all!AR8</f>
        <v>Arabinose</v>
      </c>
      <c r="C46" s="4">
        <v>6</v>
      </c>
      <c r="D46" s="14" t="str">
        <f>input_all!BP1</f>
        <v>User3</v>
      </c>
    </row>
    <row r="47" spans="1:49">
      <c r="A47" s="4">
        <v>7</v>
      </c>
      <c r="B47" s="15" t="str">
        <f ca="1">input_all!AR9</f>
        <v>Glucose</v>
      </c>
      <c r="C47" s="4">
        <v>7</v>
      </c>
    </row>
    <row r="48" spans="1:49">
      <c r="A48" s="4">
        <v>8</v>
      </c>
      <c r="B48" s="15" t="str">
        <f ca="1">input_all!AR10</f>
        <v>Water</v>
      </c>
      <c r="C48" s="4">
        <v>8</v>
      </c>
    </row>
    <row r="49" spans="1:30">
      <c r="A49" s="4" t="s">
        <v>27</v>
      </c>
      <c r="C49" s="4" t="s">
        <v>29</v>
      </c>
      <c r="D49" s="4" t="s">
        <v>30</v>
      </c>
      <c r="E49" s="4" t="s">
        <v>31</v>
      </c>
      <c r="F49" s="4" t="s">
        <v>32</v>
      </c>
      <c r="G49" s="4" t="s">
        <v>33</v>
      </c>
      <c r="H49" s="4" t="s">
        <v>34</v>
      </c>
      <c r="I49" s="11" t="s">
        <v>35</v>
      </c>
      <c r="J49" s="4" t="s">
        <v>36</v>
      </c>
      <c r="K49" s="4" t="s">
        <v>37</v>
      </c>
      <c r="L49" s="4" t="s">
        <v>38</v>
      </c>
      <c r="M49" s="4" t="s">
        <v>39</v>
      </c>
      <c r="N49" s="4" t="s">
        <v>40</v>
      </c>
      <c r="O49" s="4" t="s">
        <v>96</v>
      </c>
      <c r="P49" s="4" t="s">
        <v>109</v>
      </c>
      <c r="Q49" s="4" t="s">
        <v>110</v>
      </c>
    </row>
    <row r="50" spans="1:30">
      <c r="A50" s="4">
        <f>IF(A2=-1.01,-1.11,IF(A2=-0.99,-0.91,A2))</f>
        <v>0</v>
      </c>
      <c r="B50" s="4" t="str">
        <f>A50&amp;": "&amp;IF(A50=P50,$B$192,IF(A50=Q50,$B$193,VLOOKUP(B2,$D$73:$E$89,2)))</f>
        <v>0: Vapor pressure</v>
      </c>
      <c r="C50" s="4" t="str">
        <f ca="1">IF(A50=P50,$C$192,IF(A50=Q50,$C$193,IFERROR(VLOOKUP(C2,$A$41:$B$48,2),0)))</f>
        <v>HMF</v>
      </c>
      <c r="D50" s="4" t="str">
        <f t="shared" ref="D50:D56" ca="1" si="17">IF(A50=P50,$D$192,IF(A50=Q50,$D$193,IFERROR(VLOOKUP(D2,$A$41:$B$48,2),0)))</f>
        <v>Xylose</v>
      </c>
      <c r="E50" s="4" t="str">
        <f t="shared" ref="E50:N50" ca="1" si="18">IFERROR(VLOOKUP(E2,$A$41:$B$48,2),0)</f>
        <v>Arabinose</v>
      </c>
      <c r="F50" s="4" t="str">
        <f t="shared" ca="1" si="18"/>
        <v>Glucose</v>
      </c>
      <c r="G50" s="4">
        <f t="shared" si="18"/>
        <v>0</v>
      </c>
      <c r="H50" s="4">
        <f t="shared" si="18"/>
        <v>0</v>
      </c>
      <c r="I50" s="4" t="str">
        <f ca="1">IF(A50=P50,$I$192,IF(A50=Q50,$I$193,IFERROR(VLOOKUP(I2,$A$41:$B$48,2),0)))</f>
        <v>Furfural</v>
      </c>
      <c r="J50" s="4" t="str">
        <f t="shared" ref="J50:J54" ca="1" si="19">IF(A50=P50,$J$192,IF(A50=Q50,$J$193,IFERROR(VLOOKUP(J2,$A$41:$B$48,2),0)))</f>
        <v>Acetic acid</v>
      </c>
      <c r="K50" s="4" t="str">
        <f t="shared" ca="1" si="18"/>
        <v>Formic acid</v>
      </c>
      <c r="L50" s="4" t="str">
        <f t="shared" ca="1" si="18"/>
        <v>Water</v>
      </c>
      <c r="M50" s="4">
        <f t="shared" si="18"/>
        <v>0</v>
      </c>
      <c r="N50" s="4">
        <f t="shared" si="18"/>
        <v>0</v>
      </c>
      <c r="O50" s="4">
        <f ca="1">J26</f>
        <v>17</v>
      </c>
      <c r="P50" s="4">
        <f>IF($A$192=0,37,$A$192)</f>
        <v>-0.9</v>
      </c>
      <c r="Q50" s="14">
        <f>$A$193</f>
        <v>-0.91</v>
      </c>
    </row>
    <row r="51" spans="1:30">
      <c r="A51" s="4">
        <f t="shared" ref="A51:A56" si="20">IF(A3=-1.01,-1.11,IF(A3=-0.99,-0.91,A3))</f>
        <v>1</v>
      </c>
      <c r="B51" s="4" t="str">
        <f t="shared" ref="B51:B55" si="21">A51&amp;": "&amp;IF(A51=P51,$B$192,IF(A51=Q51,$B$193,VLOOKUP(B3,$D$73:$E$89,2)))</f>
        <v>1: Vapor pressure</v>
      </c>
      <c r="C51" s="4" t="str">
        <f t="shared" ref="C51:C56" ca="1" si="22">IF(A51=P51,$C$192,IF(A51=Q51,$C$193,IFERROR(VLOOKUP(C3,$A$41:$B$48,2),0)))</f>
        <v>Furfural</v>
      </c>
      <c r="D51" s="4">
        <f t="shared" si="17"/>
        <v>0</v>
      </c>
      <c r="E51" s="4">
        <f t="shared" ref="E51:N51" si="23">IFERROR(VLOOKUP(E3,$A$41:$B$48,2),0)</f>
        <v>0</v>
      </c>
      <c r="F51" s="4">
        <f t="shared" si="23"/>
        <v>0</v>
      </c>
      <c r="G51" s="4">
        <f t="shared" si="23"/>
        <v>0</v>
      </c>
      <c r="H51" s="4">
        <f t="shared" si="23"/>
        <v>0</v>
      </c>
      <c r="I51" s="4" t="str">
        <f t="shared" ref="I51:I54" ca="1" si="24">IF(A51=P51,$I$192,IF(A51=Q51,$I$193,IFERROR(VLOOKUP(I3,$A$41:$B$48,2),0)))</f>
        <v>Acetic acid</v>
      </c>
      <c r="J51" s="4" t="str">
        <f t="shared" ca="1" si="19"/>
        <v>Formic acid</v>
      </c>
      <c r="K51" s="4" t="str">
        <f t="shared" ca="1" si="23"/>
        <v>Water</v>
      </c>
      <c r="L51" s="4">
        <f t="shared" si="23"/>
        <v>0</v>
      </c>
      <c r="M51" s="4">
        <f t="shared" si="23"/>
        <v>0</v>
      </c>
      <c r="N51" s="4">
        <f t="shared" si="23"/>
        <v>0</v>
      </c>
      <c r="O51" s="4">
        <f t="shared" ref="O51:O56" ca="1" si="25">J27</f>
        <v>-17</v>
      </c>
      <c r="P51" s="4">
        <f t="shared" ref="P51:P56" si="26">IF($A$192=0,37,$A$192)</f>
        <v>-0.9</v>
      </c>
      <c r="Q51" s="14">
        <f t="shared" ref="Q51:Q56" si="27">$A$193</f>
        <v>-0.91</v>
      </c>
    </row>
    <row r="52" spans="1:30">
      <c r="A52" s="4">
        <f t="shared" si="20"/>
        <v>1.1000000000000001</v>
      </c>
      <c r="B52" s="4" t="str">
        <f t="shared" si="21"/>
        <v>1,1: Molecular weight</v>
      </c>
      <c r="C52" s="4" t="str">
        <f t="shared" ca="1" si="22"/>
        <v>Water</v>
      </c>
      <c r="D52" s="4">
        <f t="shared" si="17"/>
        <v>0</v>
      </c>
      <c r="E52" s="4">
        <f t="shared" ref="E52:N52" si="28">IFERROR(VLOOKUP(E4,$A$41:$B$48,2),0)</f>
        <v>0</v>
      </c>
      <c r="F52" s="4">
        <f t="shared" si="28"/>
        <v>0</v>
      </c>
      <c r="G52" s="4">
        <f t="shared" si="28"/>
        <v>0</v>
      </c>
      <c r="H52" s="4">
        <f t="shared" si="28"/>
        <v>0</v>
      </c>
      <c r="I52" s="4" t="str">
        <f t="shared" ca="1" si="24"/>
        <v>Formic acid</v>
      </c>
      <c r="J52" s="4" t="str">
        <f t="shared" ca="1" si="19"/>
        <v>Acetic acid</v>
      </c>
      <c r="K52" s="4">
        <f t="shared" si="28"/>
        <v>0</v>
      </c>
      <c r="L52" s="4">
        <f t="shared" si="28"/>
        <v>0</v>
      </c>
      <c r="M52" s="4">
        <f t="shared" si="28"/>
        <v>0</v>
      </c>
      <c r="N52" s="4">
        <f t="shared" si="28"/>
        <v>0</v>
      </c>
      <c r="O52" s="4">
        <f t="shared" ca="1" si="25"/>
        <v>-17</v>
      </c>
      <c r="P52" s="4">
        <f t="shared" si="26"/>
        <v>-0.9</v>
      </c>
      <c r="Q52" s="14">
        <f t="shared" si="27"/>
        <v>-0.91</v>
      </c>
    </row>
    <row r="53" spans="1:30">
      <c r="A53" s="4">
        <f t="shared" si="20"/>
        <v>1.1100000000000001</v>
      </c>
      <c r="B53" s="4" t="str">
        <f t="shared" si="21"/>
        <v>1,11: Vapor pressure</v>
      </c>
      <c r="C53" s="4" t="str">
        <f t="shared" ca="1" si="22"/>
        <v>Acetic acid</v>
      </c>
      <c r="D53" s="4">
        <f t="shared" si="17"/>
        <v>0</v>
      </c>
      <c r="E53" s="4">
        <f t="shared" ref="E53:N53" si="29">IFERROR(VLOOKUP(E5,$A$41:$B$48,2),0)</f>
        <v>0</v>
      </c>
      <c r="F53" s="4">
        <f t="shared" si="29"/>
        <v>0</v>
      </c>
      <c r="G53" s="4">
        <f t="shared" si="29"/>
        <v>0</v>
      </c>
      <c r="H53" s="4">
        <f t="shared" si="29"/>
        <v>0</v>
      </c>
      <c r="I53" s="4" t="str">
        <f t="shared" ca="1" si="24"/>
        <v>Formic acid</v>
      </c>
      <c r="J53" s="4">
        <f t="shared" si="19"/>
        <v>0</v>
      </c>
      <c r="K53" s="4">
        <f t="shared" si="29"/>
        <v>0</v>
      </c>
      <c r="L53" s="4">
        <f t="shared" si="29"/>
        <v>0</v>
      </c>
      <c r="M53" s="4">
        <f t="shared" si="29"/>
        <v>0</v>
      </c>
      <c r="N53" s="4">
        <f t="shared" si="29"/>
        <v>0</v>
      </c>
      <c r="O53" s="4">
        <f t="shared" ca="1" si="25"/>
        <v>-17</v>
      </c>
      <c r="P53" s="4">
        <f t="shared" si="26"/>
        <v>-0.9</v>
      </c>
      <c r="Q53" s="14">
        <f t="shared" si="27"/>
        <v>-0.91</v>
      </c>
    </row>
    <row r="54" spans="1:30">
      <c r="A54" s="4">
        <f t="shared" si="20"/>
        <v>-1</v>
      </c>
      <c r="B54" s="4" t="str">
        <f t="shared" si="21"/>
        <v>-1: Molecular weight</v>
      </c>
      <c r="C54" s="4" t="str">
        <f t="shared" ca="1" si="22"/>
        <v>HMF</v>
      </c>
      <c r="D54" s="4">
        <f t="shared" si="17"/>
        <v>0</v>
      </c>
      <c r="E54" s="4">
        <f t="shared" ref="E54:N54" si="30">IFERROR(VLOOKUP(E6,$A$41:$B$48,2),0)</f>
        <v>0</v>
      </c>
      <c r="F54" s="4">
        <f t="shared" si="30"/>
        <v>0</v>
      </c>
      <c r="G54" s="4">
        <f t="shared" si="30"/>
        <v>0</v>
      </c>
      <c r="H54" s="4">
        <f t="shared" si="30"/>
        <v>0</v>
      </c>
      <c r="I54" s="4" t="str">
        <f t="shared" ca="1" si="24"/>
        <v>Arabinose</v>
      </c>
      <c r="J54" s="4" t="str">
        <f t="shared" ca="1" si="19"/>
        <v>Glucose</v>
      </c>
      <c r="K54" s="4" t="str">
        <f t="shared" ca="1" si="30"/>
        <v>Xylose</v>
      </c>
      <c r="L54" s="4">
        <f t="shared" si="30"/>
        <v>0</v>
      </c>
      <c r="M54" s="4">
        <f t="shared" si="30"/>
        <v>0</v>
      </c>
      <c r="N54" s="4">
        <f t="shared" si="30"/>
        <v>0</v>
      </c>
      <c r="O54" s="4">
        <f t="shared" ca="1" si="25"/>
        <v>17</v>
      </c>
      <c r="P54" s="4">
        <f t="shared" si="26"/>
        <v>-0.9</v>
      </c>
      <c r="Q54" s="14">
        <f t="shared" si="27"/>
        <v>-0.91</v>
      </c>
    </row>
    <row r="55" spans="1:30">
      <c r="A55" s="4">
        <f t="shared" si="20"/>
        <v>-0.9</v>
      </c>
      <c r="B55" s="4" t="str">
        <f t="shared" si="21"/>
        <v>-0,9: Reaction</v>
      </c>
      <c r="C55" s="4" t="str">
        <f>IF(A55=P55,$C$192,IF(A55=Q55,$C$193,IFERROR(VLOOKUP(C7,$A$41:$B$48,2),0)))</f>
        <v>Water</v>
      </c>
      <c r="D55" s="4" t="str">
        <f>IF(A55=P55,$D$192,IF(A55=Q55,$D$193,IFERROR(VLOOKUP(D7,$A$41:$B$48,2),0)))</f>
        <v>Ethanol</v>
      </c>
      <c r="E55" s="4">
        <f t="shared" ref="E55:N55" si="31">IFERROR(VLOOKUP(E7,$A$41:$B$48,2),0)</f>
        <v>0</v>
      </c>
      <c r="F55" s="4">
        <f t="shared" si="31"/>
        <v>0</v>
      </c>
      <c r="G55" s="4">
        <f t="shared" si="31"/>
        <v>0</v>
      </c>
      <c r="H55" s="4">
        <f t="shared" si="31"/>
        <v>0</v>
      </c>
      <c r="I55" s="4">
        <f>IF(A55=P55,$I$192,IF(A55=Q55,$I$193,IFERROR(VLOOKUP(I7,$A$41:$B$48,2),0)))</f>
        <v>0</v>
      </c>
      <c r="J55" s="4">
        <f>IF(A55=P55,$J$192,IF(A55=Q55,$J$193,IFERROR(VLOOKUP(J7,$A$41:$B$48,2),0)))</f>
        <v>0</v>
      </c>
      <c r="K55" s="4">
        <f t="shared" si="31"/>
        <v>0</v>
      </c>
      <c r="L55" s="4">
        <f t="shared" si="31"/>
        <v>0</v>
      </c>
      <c r="M55" s="4">
        <f t="shared" si="31"/>
        <v>0</v>
      </c>
      <c r="N55" s="4">
        <f t="shared" si="31"/>
        <v>0</v>
      </c>
      <c r="O55" s="4">
        <f t="shared" ca="1" si="25"/>
        <v>17</v>
      </c>
      <c r="P55" s="4">
        <f t="shared" si="26"/>
        <v>-0.9</v>
      </c>
      <c r="Q55" s="14">
        <f t="shared" si="27"/>
        <v>-0.91</v>
      </c>
    </row>
    <row r="56" spans="1:30">
      <c r="A56" s="4">
        <f t="shared" si="20"/>
        <v>-0.91</v>
      </c>
      <c r="B56" s="4" t="str">
        <f>A56&amp;": "&amp;IF(A56=P56,$B$192,IF(A56=Q56,$B$193,VLOOKUP(B8,$D$73:$E$89,2)))</f>
        <v>-0,91: Vapor pressure</v>
      </c>
      <c r="C56" s="4" t="str">
        <f t="shared" si="22"/>
        <v>Water</v>
      </c>
      <c r="D56" s="4">
        <f t="shared" si="17"/>
        <v>0</v>
      </c>
      <c r="E56" s="4">
        <f t="shared" ref="E56:N56" si="32">IFERROR(VLOOKUP(E8,$A$41:$B$48,2),0)</f>
        <v>0</v>
      </c>
      <c r="F56" s="4">
        <f t="shared" si="32"/>
        <v>0</v>
      </c>
      <c r="G56" s="4">
        <f t="shared" si="32"/>
        <v>0</v>
      </c>
      <c r="H56" s="4">
        <f t="shared" si="32"/>
        <v>0</v>
      </c>
      <c r="I56" s="4" t="str">
        <f>IF(A56=P56,$I$192,IF(A56=Q56,$I$193,IFERROR(VLOOKUP(I8,$A$41:$B$48,2),0)))</f>
        <v>Ethanol</v>
      </c>
      <c r="J56" s="4">
        <f>IF(A56=P56,$J$192,IF(A56=Q56,$J$193,IFERROR(VLOOKUP(J8,$A$41:$B$48,2),0)))</f>
        <v>0</v>
      </c>
      <c r="K56" s="4">
        <f t="shared" si="32"/>
        <v>0</v>
      </c>
      <c r="L56" s="4">
        <f t="shared" si="32"/>
        <v>0</v>
      </c>
      <c r="M56" s="4">
        <f t="shared" si="32"/>
        <v>0</v>
      </c>
      <c r="N56" s="4">
        <f t="shared" si="32"/>
        <v>0</v>
      </c>
      <c r="O56" s="4">
        <f t="shared" ca="1" si="25"/>
        <v>17</v>
      </c>
      <c r="P56" s="4">
        <f t="shared" si="26"/>
        <v>-0.9</v>
      </c>
      <c r="Q56" s="14">
        <f t="shared" si="27"/>
        <v>-0.91</v>
      </c>
    </row>
    <row r="60" spans="1:30">
      <c r="B60" s="4" t="s">
        <v>41</v>
      </c>
    </row>
    <row r="61" spans="1:30">
      <c r="B61" s="4" t="s">
        <v>42</v>
      </c>
    </row>
    <row r="62" spans="1:30">
      <c r="B62" s="4" t="s">
        <v>43</v>
      </c>
    </row>
    <row r="64" spans="1:30">
      <c r="A64" s="4">
        <v>0</v>
      </c>
      <c r="B64" s="4">
        <v>0</v>
      </c>
      <c r="C64" s="4">
        <v>0</v>
      </c>
      <c r="D64" s="4">
        <v>247027.812476944</v>
      </c>
      <c r="E64" s="16">
        <f>B64+C64-D64</f>
        <v>-247027.812476944</v>
      </c>
      <c r="AD64" s="7"/>
    </row>
    <row r="65" spans="1:30">
      <c r="A65" s="4">
        <v>1</v>
      </c>
      <c r="B65" s="4">
        <v>0</v>
      </c>
      <c r="C65" s="4">
        <v>15000</v>
      </c>
      <c r="D65" s="4">
        <v>247027.812476944</v>
      </c>
      <c r="E65" s="16">
        <f t="shared" ref="E65:E69" si="33">B65+C65-D65</f>
        <v>-232027.812476944</v>
      </c>
      <c r="AD65" s="7"/>
    </row>
    <row r="66" spans="1:30">
      <c r="A66" s="4">
        <v>-1</v>
      </c>
      <c r="B66" s="4">
        <v>0</v>
      </c>
      <c r="C66" s="4">
        <v>60000</v>
      </c>
      <c r="D66" s="4">
        <v>247027.812476944</v>
      </c>
      <c r="E66" s="16">
        <f t="shared" si="33"/>
        <v>-187027.812476944</v>
      </c>
      <c r="AD66" s="7"/>
    </row>
    <row r="67" spans="1:30">
      <c r="A67" s="4">
        <v>0.9</v>
      </c>
      <c r="B67" s="4">
        <v>2475000</v>
      </c>
      <c r="C67" s="4">
        <v>888000</v>
      </c>
      <c r="D67" s="4">
        <v>247027.812476944</v>
      </c>
      <c r="E67" s="16">
        <f t="shared" si="33"/>
        <v>3115972.1875230558</v>
      </c>
      <c r="AD67" s="7"/>
    </row>
    <row r="68" spans="1:30">
      <c r="A68" s="4">
        <v>-1.1000000000000001</v>
      </c>
      <c r="B68" s="4">
        <v>0</v>
      </c>
      <c r="C68" s="4">
        <v>300000</v>
      </c>
      <c r="D68" s="4">
        <v>247027.812476944</v>
      </c>
      <c r="E68" s="16">
        <f t="shared" si="33"/>
        <v>52972.187523055996</v>
      </c>
    </row>
    <row r="69" spans="1:30">
      <c r="A69" s="4">
        <v>-1.1100000000000001</v>
      </c>
      <c r="B69" s="4">
        <v>162000</v>
      </c>
      <c r="C69" s="4">
        <v>180000</v>
      </c>
      <c r="D69" s="4">
        <v>247027.812476944</v>
      </c>
      <c r="E69" s="16">
        <f t="shared" si="33"/>
        <v>94972.187523055996</v>
      </c>
    </row>
    <row r="72" spans="1:30">
      <c r="A72" t="s">
        <v>26</v>
      </c>
    </row>
    <row r="73" spans="1:30">
      <c r="A73" s="4" t="s">
        <v>59</v>
      </c>
      <c r="B73" s="14">
        <v>1</v>
      </c>
      <c r="D73" s="26" t="s">
        <v>78</v>
      </c>
      <c r="E73" s="26" t="s">
        <v>21</v>
      </c>
    </row>
    <row r="74" spans="1:30">
      <c r="A74" s="4" t="s">
        <v>8</v>
      </c>
      <c r="B74" s="14">
        <v>2</v>
      </c>
      <c r="D74" s="26">
        <v>2</v>
      </c>
      <c r="E74" s="26" t="s">
        <v>8</v>
      </c>
      <c r="F74" s="4" t="s">
        <v>112</v>
      </c>
      <c r="G74" s="4" t="s">
        <v>113</v>
      </c>
      <c r="H74" s="4" t="str">
        <f>" - "</f>
        <v xml:space="preserve"> - </v>
      </c>
    </row>
    <row r="75" spans="1:30">
      <c r="A75" s="4" t="s">
        <v>60</v>
      </c>
      <c r="B75" s="14">
        <v>3</v>
      </c>
      <c r="D75" s="26">
        <v>4</v>
      </c>
      <c r="E75" s="26" t="s">
        <v>7</v>
      </c>
      <c r="F75" s="4" t="s">
        <v>114</v>
      </c>
      <c r="G75" s="4" t="s">
        <v>115</v>
      </c>
      <c r="H75" s="4" t="str">
        <f>" - "</f>
        <v xml:space="preserve"> - </v>
      </c>
    </row>
    <row r="76" spans="1:30">
      <c r="A76" s="4" t="s">
        <v>7</v>
      </c>
      <c r="B76" s="14">
        <v>4</v>
      </c>
      <c r="D76" s="26">
        <v>5</v>
      </c>
      <c r="E76" s="26" t="s">
        <v>0</v>
      </c>
      <c r="F76" s="4" t="s">
        <v>116</v>
      </c>
      <c r="G76" s="4" t="str">
        <f t="shared" ref="G76:H77" si="34">" - "</f>
        <v xml:space="preserve"> - </v>
      </c>
      <c r="H76" s="4" t="str">
        <f t="shared" si="34"/>
        <v xml:space="preserve"> - </v>
      </c>
    </row>
    <row r="77" spans="1:30">
      <c r="A77" s="4" t="s">
        <v>0</v>
      </c>
      <c r="B77" s="14">
        <v>5</v>
      </c>
      <c r="D77" s="26">
        <v>6</v>
      </c>
      <c r="E77" s="26" t="s">
        <v>1</v>
      </c>
      <c r="F77" s="4" t="s">
        <v>116</v>
      </c>
      <c r="G77" s="4" t="str">
        <f t="shared" si="34"/>
        <v xml:space="preserve"> - </v>
      </c>
      <c r="H77" s="4" t="str">
        <f t="shared" si="34"/>
        <v xml:space="preserve"> - </v>
      </c>
    </row>
    <row r="78" spans="1:30">
      <c r="A78" s="4" t="s">
        <v>1</v>
      </c>
      <c r="B78" s="14">
        <v>6</v>
      </c>
      <c r="D78" s="26">
        <v>8</v>
      </c>
      <c r="E78" s="26" t="s">
        <v>3</v>
      </c>
      <c r="F78" s="4" t="s">
        <v>117</v>
      </c>
      <c r="G78" s="4" t="s">
        <v>119</v>
      </c>
      <c r="H78" s="4" t="s">
        <v>120</v>
      </c>
    </row>
    <row r="79" spans="1:30">
      <c r="A79" s="4" t="s">
        <v>2</v>
      </c>
      <c r="B79" s="14">
        <v>7</v>
      </c>
      <c r="D79" s="26">
        <v>9</v>
      </c>
      <c r="E79" s="26" t="s">
        <v>15</v>
      </c>
      <c r="F79" s="4" t="s">
        <v>112</v>
      </c>
      <c r="G79" s="4" t="str">
        <f t="shared" ref="G79:H80" si="35">" - "</f>
        <v xml:space="preserve"> - </v>
      </c>
      <c r="H79" s="4" t="str">
        <f t="shared" si="35"/>
        <v xml:space="preserve"> - </v>
      </c>
    </row>
    <row r="80" spans="1:30">
      <c r="A80" s="4" t="s">
        <v>3</v>
      </c>
      <c r="B80" s="14">
        <v>8</v>
      </c>
      <c r="D80" s="26">
        <v>10</v>
      </c>
      <c r="E80" s="26" t="s">
        <v>14</v>
      </c>
      <c r="F80" s="4" t="s">
        <v>118</v>
      </c>
      <c r="G80" s="4" t="str">
        <f t="shared" si="35"/>
        <v xml:space="preserve"> - </v>
      </c>
      <c r="H80" s="4" t="str">
        <f t="shared" si="35"/>
        <v xml:space="preserve"> - </v>
      </c>
    </row>
    <row r="81" spans="1:14">
      <c r="A81" s="4" t="s">
        <v>15</v>
      </c>
      <c r="B81" s="14">
        <v>9</v>
      </c>
      <c r="D81" s="26">
        <v>11</v>
      </c>
      <c r="E81" s="26" t="s">
        <v>9</v>
      </c>
      <c r="F81" s="4" t="s">
        <v>121</v>
      </c>
      <c r="G81" s="4" t="str">
        <f t="shared" ref="G81:H82" si="36">" - "</f>
        <v xml:space="preserve"> - </v>
      </c>
      <c r="H81" s="4" t="str">
        <f t="shared" si="36"/>
        <v xml:space="preserve"> - </v>
      </c>
    </row>
    <row r="82" spans="1:14">
      <c r="A82" s="4" t="s">
        <v>14</v>
      </c>
      <c r="B82" s="14">
        <v>10</v>
      </c>
      <c r="D82" s="26">
        <v>13</v>
      </c>
      <c r="E82" s="26" t="s">
        <v>10</v>
      </c>
      <c r="F82" s="4" t="s">
        <v>122</v>
      </c>
      <c r="G82" s="4" t="str">
        <f t="shared" si="36"/>
        <v xml:space="preserve"> - </v>
      </c>
      <c r="H82" s="4" t="str">
        <f t="shared" si="36"/>
        <v xml:space="preserve"> - </v>
      </c>
    </row>
    <row r="83" spans="1:14">
      <c r="A83" s="4" t="s">
        <v>61</v>
      </c>
      <c r="B83" s="14">
        <v>11</v>
      </c>
      <c r="D83" s="26">
        <v>14</v>
      </c>
      <c r="E83" s="26" t="s">
        <v>13</v>
      </c>
      <c r="F83" s="4" t="s">
        <v>122</v>
      </c>
      <c r="G83" s="4" t="str">
        <f t="shared" ref="G83:H83" si="37">" - "</f>
        <v xml:space="preserve"> - </v>
      </c>
      <c r="H83" s="4" t="str">
        <f t="shared" si="37"/>
        <v xml:space="preserve"> - </v>
      </c>
    </row>
    <row r="84" spans="1:14">
      <c r="A84" s="4" t="s">
        <v>13</v>
      </c>
      <c r="B84" s="14">
        <v>13</v>
      </c>
      <c r="D84" s="26">
        <v>15</v>
      </c>
      <c r="E84" s="26" t="s">
        <v>11</v>
      </c>
      <c r="F84" s="4" t="s">
        <v>123</v>
      </c>
      <c r="G84" s="4" t="s">
        <v>124</v>
      </c>
      <c r="H84" s="4" t="s">
        <v>126</v>
      </c>
    </row>
    <row r="85" spans="1:14">
      <c r="A85" s="4" t="s">
        <v>10</v>
      </c>
      <c r="B85" s="14">
        <v>14</v>
      </c>
      <c r="D85" s="26">
        <v>16</v>
      </c>
      <c r="E85" s="26" t="s">
        <v>12</v>
      </c>
      <c r="F85" s="4" t="s">
        <v>123</v>
      </c>
      <c r="G85" s="4" t="s">
        <v>124</v>
      </c>
      <c r="H85" s="4" t="s">
        <v>126</v>
      </c>
    </row>
    <row r="86" spans="1:14">
      <c r="A86" s="4" t="s">
        <v>62</v>
      </c>
      <c r="B86" s="14">
        <v>15</v>
      </c>
      <c r="D86" s="26">
        <v>21</v>
      </c>
      <c r="E86" s="26" t="s">
        <v>130</v>
      </c>
      <c r="F86" s="4" t="s">
        <v>129</v>
      </c>
      <c r="G86" s="4" t="str">
        <f t="shared" ref="G86:H86" si="38">" - "</f>
        <v xml:space="preserve"> - </v>
      </c>
      <c r="H86" s="4" t="str">
        <f t="shared" si="38"/>
        <v xml:space="preserve"> - </v>
      </c>
    </row>
    <row r="87" spans="1:14">
      <c r="A87" s="4" t="s">
        <v>12</v>
      </c>
      <c r="B87" s="14">
        <v>16</v>
      </c>
      <c r="D87" s="26">
        <v>22</v>
      </c>
      <c r="E87" s="26" t="s">
        <v>4</v>
      </c>
      <c r="F87" s="4" t="s">
        <v>125</v>
      </c>
      <c r="G87" s="4" t="s">
        <v>116</v>
      </c>
      <c r="H87" s="4" t="s">
        <v>127</v>
      </c>
    </row>
    <row r="88" spans="1:14">
      <c r="A88" s="4" t="s">
        <v>5</v>
      </c>
      <c r="B88" s="14">
        <v>21</v>
      </c>
      <c r="D88" s="26">
        <v>23</v>
      </c>
      <c r="E88" s="26" t="s">
        <v>77</v>
      </c>
      <c r="F88" s="4" t="str">
        <f>" - "</f>
        <v xml:space="preserve"> - </v>
      </c>
      <c r="G88" s="4" t="str">
        <f t="shared" ref="G88:H89" si="39">" - "</f>
        <v xml:space="preserve"> - </v>
      </c>
      <c r="H88" s="4" t="str">
        <f t="shared" si="39"/>
        <v xml:space="preserve"> - </v>
      </c>
    </row>
    <row r="89" spans="1:14">
      <c r="A89" s="4" t="s">
        <v>63</v>
      </c>
      <c r="B89" s="14">
        <v>22</v>
      </c>
      <c r="D89" s="26">
        <v>24</v>
      </c>
      <c r="E89" s="26" t="s">
        <v>6</v>
      </c>
      <c r="F89" s="4" t="s">
        <v>128</v>
      </c>
      <c r="G89" s="4" t="str">
        <f t="shared" si="39"/>
        <v xml:space="preserve"> - </v>
      </c>
      <c r="H89" s="4" t="str">
        <f t="shared" si="39"/>
        <v xml:space="preserve"> - </v>
      </c>
    </row>
    <row r="90" spans="1:14">
      <c r="A90" s="4" t="s">
        <v>6</v>
      </c>
      <c r="B90" s="14">
        <v>24</v>
      </c>
      <c r="D90" s="4">
        <v>25</v>
      </c>
      <c r="E90" s="4" t="s">
        <v>98</v>
      </c>
      <c r="F90" s="4" t="s">
        <v>100</v>
      </c>
      <c r="G90" s="4" t="str">
        <f>" - "</f>
        <v xml:space="preserve"> - </v>
      </c>
      <c r="H90" s="4" t="str">
        <f>" - "</f>
        <v xml:space="preserve"> - </v>
      </c>
    </row>
    <row r="94" spans="1:14">
      <c r="A94" s="4">
        <f>A50</f>
        <v>0</v>
      </c>
      <c r="B94" s="4">
        <f ca="1">IFERROR(VLOOKUP(C2,input_all!$AQ$3:$AS$10,3),0)/1000</f>
        <v>6.3000000000000003E-4</v>
      </c>
      <c r="C94" s="4">
        <f ca="1">IFERROR(VLOOKUP(D2,input_all!$AQ$3:$AS$10,3),0)/1000</f>
        <v>5.8200000000000002E-2</v>
      </c>
      <c r="D94" s="4">
        <f ca="1">IFERROR(VLOOKUP(E2,input_all!$AQ$3:$AS$10,3),0)/1000</f>
        <v>8.4600000000000005E-3</v>
      </c>
      <c r="E94" s="4">
        <f ca="1">IFERROR(VLOOKUP(F2,input_all!$AQ$3:$AS$10,3),0)/1000</f>
        <v>1.4029999999999999E-2</v>
      </c>
      <c r="F94" s="4">
        <f ca="1">IFERROR(VLOOKUP(G2,input_all!$AQ$3:$AS$10,3),0)/1000</f>
        <v>0</v>
      </c>
      <c r="G94" s="4">
        <f ca="1">IFERROR(VLOOKUP(H2,input_all!$AQ$3:$AS$10,3),0)/1000</f>
        <v>0</v>
      </c>
      <c r="H94" s="14">
        <f ca="1">IFERROR(VLOOKUP(I2,input_all!$AQ$3:$AS$10,3),0)/1000</f>
        <v>4.2199999999999998E-3</v>
      </c>
      <c r="I94" s="4">
        <f ca="1">IFERROR(VLOOKUP(J2,input_all!$AQ$3:$AS$10,3),0)/1000</f>
        <v>1.234E-2</v>
      </c>
      <c r="J94" s="4">
        <f ca="1">IFERROR(VLOOKUP(K2,input_all!$AQ$3:$AS$10,3),0)/1000</f>
        <v>2.14E-3</v>
      </c>
      <c r="K94" s="4">
        <f ca="1">IFERROR(VLOOKUP(L2,input_all!$AQ$3:$AS$10,3),0)/1000</f>
        <v>0.9</v>
      </c>
      <c r="L94" s="4">
        <f ca="1">IFERROR(VLOOKUP(M2,input_all!$AQ$3:$AS$10,3),0)/1000</f>
        <v>0</v>
      </c>
      <c r="M94" s="4">
        <f ca="1">IFERROR(VLOOKUP(N2,input_all!$AQ$3:$AS$10,3),0)/1000</f>
        <v>0</v>
      </c>
      <c r="N94" s="4">
        <f ca="1">IFERROR(VLOOKUP(O2,input_all!$AQ$3:$AS$10,3),0)/1000</f>
        <v>0</v>
      </c>
    </row>
    <row r="95" spans="1:14">
      <c r="A95" s="4">
        <f t="shared" ref="A95:A100" si="40">A51</f>
        <v>1</v>
      </c>
      <c r="B95" s="4">
        <f ca="1">IFERROR(VLOOKUP(C3,input_all!$AQ$3:$AS$10,3),0)/1000</f>
        <v>4.2199999999999998E-3</v>
      </c>
      <c r="C95" s="4">
        <f ca="1">IFERROR(VLOOKUP(D3,input_all!$AQ$3:$AS$10,3),0)/1000</f>
        <v>0</v>
      </c>
      <c r="D95" s="4">
        <f ca="1">IFERROR(VLOOKUP(E3,input_all!$AQ$3:$AS$10,3),0)/1000</f>
        <v>0</v>
      </c>
      <c r="E95" s="4">
        <f ca="1">IFERROR(VLOOKUP(F3,input_all!$AQ$3:$AS$10,3),0)/1000</f>
        <v>0</v>
      </c>
      <c r="F95" s="4">
        <f ca="1">IFERROR(VLOOKUP(G3,input_all!$AQ$3:$AS$10,3),0)/1000</f>
        <v>0</v>
      </c>
      <c r="G95" s="4">
        <f ca="1">IFERROR(VLOOKUP(H3,input_all!$AQ$3:$AS$10,3),0)/1000</f>
        <v>0</v>
      </c>
      <c r="H95" s="4">
        <f ca="1">IFERROR(VLOOKUP(I3,input_all!$AQ$3:$AS$10,3),0)/1000</f>
        <v>1.234E-2</v>
      </c>
      <c r="I95" s="4">
        <f ca="1">IFERROR(VLOOKUP(J3,input_all!$AQ$3:$AS$10,3),0)/1000</f>
        <v>2.14E-3</v>
      </c>
      <c r="J95" s="4">
        <f ca="1">IFERROR(VLOOKUP(K3,input_all!$AQ$3:$AS$10,3),0)/1000</f>
        <v>0.9</v>
      </c>
      <c r="K95" s="4">
        <f ca="1">IFERROR(VLOOKUP(L3,input_all!$AQ$3:$AS$10,3),0)/1000</f>
        <v>0</v>
      </c>
      <c r="L95" s="4">
        <f ca="1">IFERROR(VLOOKUP(M3,input_all!$AQ$3:$AS$10,3),0)/1000</f>
        <v>0</v>
      </c>
      <c r="M95" s="4">
        <f ca="1">IFERROR(VLOOKUP(N3,input_all!$AQ$3:$AS$10,3),0)/1000</f>
        <v>0</v>
      </c>
      <c r="N95" s="4">
        <f ca="1">IFERROR(VLOOKUP(O3,input_all!$AQ$3:$AS$10,3),0)/1000</f>
        <v>0</v>
      </c>
    </row>
    <row r="96" spans="1:14">
      <c r="A96" s="4">
        <f t="shared" si="40"/>
        <v>1.1000000000000001</v>
      </c>
      <c r="B96" s="4">
        <f ca="1">IFERROR(VLOOKUP(C4,input_all!$AQ$3:$AS$10,3),0)/1000</f>
        <v>0.9</v>
      </c>
      <c r="C96" s="4">
        <f ca="1">IFERROR(VLOOKUP(D4,input_all!$AQ$3:$AS$10,3),0)/1000</f>
        <v>0</v>
      </c>
      <c r="D96" s="4">
        <f ca="1">IFERROR(VLOOKUP(E4,input_all!$AQ$3:$AS$10,3),0)/1000</f>
        <v>0</v>
      </c>
      <c r="E96" s="4">
        <f ca="1">IFERROR(VLOOKUP(F4,input_all!$AQ$3:$AS$10,3),0)/1000</f>
        <v>0</v>
      </c>
      <c r="F96" s="4">
        <f ca="1">IFERROR(VLOOKUP(G4,input_all!$AQ$3:$AS$10,3),0)/1000</f>
        <v>0</v>
      </c>
      <c r="G96" s="4">
        <f ca="1">IFERROR(VLOOKUP(H4,input_all!$AQ$3:$AS$10,3),0)/1000</f>
        <v>0</v>
      </c>
      <c r="H96" s="4">
        <f ca="1">IFERROR(VLOOKUP(I4,input_all!$AQ$3:$AS$10,3),0)/1000</f>
        <v>2.14E-3</v>
      </c>
      <c r="I96" s="4">
        <f ca="1">IFERROR(VLOOKUP(J4,input_all!$AQ$3:$AS$10,3),0)/1000</f>
        <v>1.234E-2</v>
      </c>
      <c r="J96" s="4">
        <f ca="1">IFERROR(VLOOKUP(K4,input_all!$AQ$3:$AS$10,3),0)/1000</f>
        <v>0</v>
      </c>
      <c r="K96" s="4">
        <f ca="1">IFERROR(VLOOKUP(L4,input_all!$AQ$3:$AS$10,3),0)/1000</f>
        <v>0</v>
      </c>
      <c r="L96" s="4">
        <f ca="1">IFERROR(VLOOKUP(M4,input_all!$AQ$3:$AS$10,3),0)/1000</f>
        <v>0</v>
      </c>
      <c r="M96" s="4">
        <f ca="1">IFERROR(VLOOKUP(N4,input_all!$AQ$3:$AS$10,3),0)/1000</f>
        <v>0</v>
      </c>
      <c r="N96" s="4">
        <f ca="1">IFERROR(VLOOKUP(O4,input_all!$AQ$3:$AS$10,3),0)/1000</f>
        <v>0</v>
      </c>
    </row>
    <row r="97" spans="1:14">
      <c r="A97" s="4">
        <f t="shared" si="40"/>
        <v>1.1100000000000001</v>
      </c>
      <c r="B97" s="4">
        <f ca="1">IFERROR(VLOOKUP(C5,input_all!$AQ$3:$AS$10,3),0)/1000</f>
        <v>1.234E-2</v>
      </c>
      <c r="C97" s="4">
        <f ca="1">IFERROR(VLOOKUP(D5,input_all!$AQ$3:$AS$10,3),0)/1000</f>
        <v>0</v>
      </c>
      <c r="D97" s="4">
        <f ca="1">IFERROR(VLOOKUP(E5,input_all!$AQ$3:$AS$10,3),0)/1000</f>
        <v>0</v>
      </c>
      <c r="E97" s="4">
        <f ca="1">IFERROR(VLOOKUP(F5,input_all!$AQ$3:$AS$10,3),0)/1000</f>
        <v>0</v>
      </c>
      <c r="F97" s="4">
        <f ca="1">IFERROR(VLOOKUP(G5,input_all!$AQ$3:$AS$10,3),0)/1000</f>
        <v>0</v>
      </c>
      <c r="G97" s="4">
        <f ca="1">IFERROR(VLOOKUP(H5,input_all!$AQ$3:$AS$10,3),0)/1000</f>
        <v>0</v>
      </c>
      <c r="H97" s="4">
        <f ca="1">IFERROR(VLOOKUP(I5,input_all!$AQ$3:$AS$10,3),0)/1000</f>
        <v>2.14E-3</v>
      </c>
      <c r="I97" s="4">
        <f ca="1">IFERROR(VLOOKUP(J5,input_all!$AQ$3:$AS$10,3),0)/1000</f>
        <v>0</v>
      </c>
      <c r="J97" s="4">
        <f ca="1">IFERROR(VLOOKUP(K5,input_all!$AQ$3:$AS$10,3),0)/1000</f>
        <v>0</v>
      </c>
      <c r="K97" s="4">
        <f ca="1">IFERROR(VLOOKUP(L5,input_all!$AQ$3:$AS$10,3),0)/1000</f>
        <v>0</v>
      </c>
      <c r="L97" s="4">
        <f ca="1">IFERROR(VLOOKUP(M5,input_all!$AQ$3:$AS$10,3),0)/1000</f>
        <v>0</v>
      </c>
      <c r="M97" s="4">
        <f ca="1">IFERROR(VLOOKUP(N5,input_all!$AQ$3:$AS$10,3),0)/1000</f>
        <v>0</v>
      </c>
      <c r="N97" s="4">
        <f ca="1">IFERROR(VLOOKUP(O5,input_all!$AQ$3:$AS$10,3),0)/1000</f>
        <v>0</v>
      </c>
    </row>
    <row r="98" spans="1:14">
      <c r="A98" s="4">
        <f t="shared" si="40"/>
        <v>-1</v>
      </c>
      <c r="B98" s="4">
        <f ca="1">IFERROR(VLOOKUP(C6,input_all!$AQ$3:$AS$10,3),0)/1000</f>
        <v>6.3000000000000003E-4</v>
      </c>
      <c r="C98" s="4">
        <f ca="1">IFERROR(VLOOKUP(D6,input_all!$AQ$3:$AS$10,3),0)/1000</f>
        <v>0</v>
      </c>
      <c r="D98" s="4">
        <f ca="1">IFERROR(VLOOKUP(E6,input_all!$AQ$3:$AS$10,3),0)/1000</f>
        <v>0</v>
      </c>
      <c r="E98" s="4">
        <f ca="1">IFERROR(VLOOKUP(F6,input_all!$AQ$3:$AS$10,3),0)/1000</f>
        <v>0</v>
      </c>
      <c r="F98" s="4">
        <f ca="1">IFERROR(VLOOKUP(G6,input_all!$AQ$3:$AS$10,3),0)/1000</f>
        <v>0</v>
      </c>
      <c r="G98" s="4">
        <f ca="1">IFERROR(VLOOKUP(H6,input_all!$AQ$3:$AS$10,3),0)/1000</f>
        <v>0</v>
      </c>
      <c r="H98" s="4">
        <f ca="1">IFERROR(VLOOKUP(I6,input_all!$AQ$3:$AS$10,3),0)/1000</f>
        <v>8.4600000000000005E-3</v>
      </c>
      <c r="I98" s="4">
        <f ca="1">IFERROR(VLOOKUP(J6,input_all!$AQ$3:$AS$10,3),0)/1000</f>
        <v>1.4029999999999999E-2</v>
      </c>
      <c r="J98" s="4">
        <f ca="1">IFERROR(VLOOKUP(K6,input_all!$AQ$3:$AS$10,3),0)/1000</f>
        <v>5.8200000000000002E-2</v>
      </c>
      <c r="K98" s="4">
        <f ca="1">IFERROR(VLOOKUP(L6,input_all!$AQ$3:$AS$10,3),0)/1000</f>
        <v>0</v>
      </c>
      <c r="L98" s="4">
        <f ca="1">IFERROR(VLOOKUP(M6,input_all!$AQ$3:$AS$10,3),0)/1000</f>
        <v>0</v>
      </c>
      <c r="M98" s="4">
        <f ca="1">IFERROR(VLOOKUP(N6,input_all!$AQ$3:$AS$10,3),0)/1000</f>
        <v>0</v>
      </c>
      <c r="N98" s="4">
        <f ca="1">IFERROR(VLOOKUP(O6,input_all!$AQ$3:$AS$10,3),0)/1000</f>
        <v>0</v>
      </c>
    </row>
    <row r="99" spans="1:14">
      <c r="A99" s="4">
        <f t="shared" si="40"/>
        <v>-0.9</v>
      </c>
      <c r="B99" s="4">
        <f ca="1">IFERROR(VLOOKUP(C7,input_all!$AQ$3:$AS$10,3),0)/1000</f>
        <v>5.8200000000000002E-2</v>
      </c>
      <c r="C99" s="4">
        <f ca="1">IFERROR(VLOOKUP(D7,input_all!$AQ$3:$AS$10,3),0)/1000</f>
        <v>8.4600000000000005E-3</v>
      </c>
      <c r="D99" s="4">
        <f ca="1">IFERROR(VLOOKUP(E7,input_all!$AQ$3:$AS$10,3),0)/1000</f>
        <v>0</v>
      </c>
      <c r="E99" s="4">
        <f ca="1">IFERROR(VLOOKUP(F7,input_all!$AQ$3:$AS$10,3),0)/1000</f>
        <v>0</v>
      </c>
      <c r="F99" s="4">
        <f ca="1">IFERROR(VLOOKUP(G7,input_all!$AQ$3:$AS$10,3),0)/1000</f>
        <v>0</v>
      </c>
      <c r="G99" s="4">
        <f ca="1">IFERROR(VLOOKUP(H7,input_all!$AQ$3:$AS$10,3),0)/1000</f>
        <v>0</v>
      </c>
      <c r="H99" s="4">
        <f ca="1">IFERROR(VLOOKUP(I7,input_all!$AQ$3:$AS$10,3),0)/1000</f>
        <v>1.4029999999999999E-2</v>
      </c>
      <c r="I99" s="4">
        <f ca="1">IFERROR(VLOOKUP(J7,input_all!$AQ$3:$AS$10,3),0)/1000</f>
        <v>0</v>
      </c>
      <c r="J99" s="4">
        <f ca="1">IFERROR(VLOOKUP(K7,input_all!$AQ$3:$AS$10,3),0)/1000</f>
        <v>0</v>
      </c>
      <c r="K99" s="4">
        <f ca="1">IFERROR(VLOOKUP(L7,input_all!$AQ$3:$AS$10,3),0)/1000</f>
        <v>0</v>
      </c>
      <c r="L99" s="4">
        <f ca="1">IFERROR(VLOOKUP(M7,input_all!$AQ$3:$AS$10,3),0)/1000</f>
        <v>0</v>
      </c>
      <c r="M99" s="4">
        <f ca="1">IFERROR(VLOOKUP(N7,input_all!$AQ$3:$AS$10,3),0)/1000</f>
        <v>0</v>
      </c>
      <c r="N99" s="4">
        <f ca="1">IFERROR(VLOOKUP(O7,input_all!$AQ$3:$AS$10,3),0)/1000</f>
        <v>0</v>
      </c>
    </row>
    <row r="100" spans="1:14">
      <c r="A100" s="4">
        <f t="shared" si="40"/>
        <v>-0.91</v>
      </c>
      <c r="B100" s="4">
        <f ca="1">IFERROR(VLOOKUP(C8,input_all!$AQ$3:$AS$10,3),0)/1000</f>
        <v>5.8200000000000002E-2</v>
      </c>
      <c r="C100" s="4">
        <f ca="1">IFERROR(VLOOKUP(D8,input_all!$AQ$3:$AS$10,3),0)/1000</f>
        <v>0</v>
      </c>
      <c r="D100" s="4">
        <f ca="1">IFERROR(VLOOKUP(E8,input_all!$AQ$3:$AS$10,3),0)/1000</f>
        <v>0</v>
      </c>
      <c r="E100" s="4">
        <f ca="1">IFERROR(VLOOKUP(F8,input_all!$AQ$3:$AS$10,3),0)/1000</f>
        <v>0</v>
      </c>
      <c r="F100" s="4">
        <f ca="1">IFERROR(VLOOKUP(G8,input_all!$AQ$3:$AS$10,3),0)/1000</f>
        <v>0</v>
      </c>
      <c r="G100" s="4">
        <f ca="1">IFERROR(VLOOKUP(H8,input_all!$AQ$3:$AS$10,3),0)/1000</f>
        <v>0</v>
      </c>
      <c r="H100" s="4">
        <f ca="1">IFERROR(VLOOKUP(I8,input_all!$AQ$3:$AS$10,3),0)/1000</f>
        <v>8.4600000000000005E-3</v>
      </c>
      <c r="I100" s="4">
        <f ca="1">IFERROR(VLOOKUP(J8,input_all!$AQ$3:$AS$10,3),0)/1000</f>
        <v>0</v>
      </c>
      <c r="J100" s="4">
        <f ca="1">IFERROR(VLOOKUP(K8,input_all!$AQ$3:$AS$10,3),0)/1000</f>
        <v>0</v>
      </c>
      <c r="K100" s="4">
        <f ca="1">IFERROR(VLOOKUP(L8,input_all!$AQ$3:$AS$10,3),0)/1000</f>
        <v>0</v>
      </c>
      <c r="L100" s="4">
        <f ca="1">IFERROR(VLOOKUP(M8,input_all!$AQ$3:$AS$10,3),0)/1000</f>
        <v>0</v>
      </c>
      <c r="M100" s="4">
        <f ca="1">IFERROR(VLOOKUP(N8,input_all!$AQ$3:$AS$10,3),0)/1000</f>
        <v>0</v>
      </c>
      <c r="N100" s="4">
        <f ca="1">IFERROR(VLOOKUP(O8,input_all!$AQ$3:$AS$10,3),0)/1000</f>
        <v>0</v>
      </c>
    </row>
    <row r="101" spans="1:14">
      <c r="A101" s="4">
        <f>A57</f>
        <v>0</v>
      </c>
      <c r="B101" s="4">
        <f ca="1">IFERROR(VLOOKUP(C9,input_all!$AQ$3:$AS$10,3),0)/1000</f>
        <v>0</v>
      </c>
      <c r="C101" s="4">
        <f ca="1">IFERROR(VLOOKUP(D9,input_all!$AQ$3:$AS$10,3),0)/1000</f>
        <v>0</v>
      </c>
      <c r="D101" s="4">
        <f ca="1">IFERROR(VLOOKUP(E9,input_all!$AQ$3:$AS$10,3),0)/1000</f>
        <v>0</v>
      </c>
      <c r="E101" s="4">
        <f ca="1">IFERROR(VLOOKUP(F9,input_all!$AQ$3:$AS$10,3),0)/1000</f>
        <v>0</v>
      </c>
      <c r="F101" s="4">
        <f ca="1">IFERROR(VLOOKUP(G9,input_all!$AQ$3:$AS$10,3),0)/1000</f>
        <v>0</v>
      </c>
      <c r="G101" s="4">
        <f ca="1">IFERROR(VLOOKUP(H9,input_all!$AQ$3:$AS$10,3),0)/1000</f>
        <v>0</v>
      </c>
      <c r="H101" s="4">
        <f ca="1">IFERROR(VLOOKUP(I9,input_all!$AQ$3:$AS$10,3),0)/1000</f>
        <v>0</v>
      </c>
      <c r="I101" s="4">
        <f ca="1">IFERROR(VLOOKUP(J9,input_all!$AQ$3:$AS$10,3),0)/1000</f>
        <v>0</v>
      </c>
      <c r="J101" s="4">
        <f ca="1">IFERROR(VLOOKUP(K9,input_all!$AQ$3:$AS$10,3),0)/1000</f>
        <v>0</v>
      </c>
      <c r="K101" s="4">
        <f ca="1">IFERROR(VLOOKUP(L9,input_all!$AQ$3:$AS$10,3),0)/1000</f>
        <v>0</v>
      </c>
      <c r="L101" s="4">
        <f ca="1">IFERROR(VLOOKUP(M9,input_all!$AQ$3:$AS$10,3),0)/1000</f>
        <v>0</v>
      </c>
      <c r="M101" s="4">
        <f ca="1">IFERROR(VLOOKUP(N9,input_all!$AQ$3:$AS$10,3),0)/1000</f>
        <v>0</v>
      </c>
      <c r="N101" s="4">
        <f ca="1">IFERROR(VLOOKUP(O9,input_all!$AQ$3:$AS$10,3),0)/1000</f>
        <v>0</v>
      </c>
    </row>
    <row r="102" spans="1:14">
      <c r="A102" s="4">
        <f>A58</f>
        <v>0</v>
      </c>
      <c r="B102" s="4">
        <f ca="1">IFERROR(VLOOKUP(C10,input_all!$AQ$3:$AS$10,3),0)/1000</f>
        <v>0</v>
      </c>
      <c r="C102" s="4">
        <f ca="1">IFERROR(VLOOKUP(D10,input_all!$AQ$3:$AS$10,3),0)/1000</f>
        <v>0</v>
      </c>
      <c r="D102" s="4">
        <f ca="1">IFERROR(VLOOKUP(E10,input_all!$AQ$3:$AS$10,3),0)/1000</f>
        <v>0</v>
      </c>
      <c r="E102" s="4">
        <f ca="1">IFERROR(VLOOKUP(F10,input_all!$AQ$3:$AS$10,3),0)/1000</f>
        <v>0</v>
      </c>
      <c r="F102" s="4">
        <f ca="1">IFERROR(VLOOKUP(G10,input_all!$AQ$3:$AS$10,3),0)/1000</f>
        <v>0</v>
      </c>
      <c r="G102" s="4">
        <f ca="1">IFERROR(VLOOKUP(H10,input_all!$AQ$3:$AS$10,3),0)/1000</f>
        <v>0</v>
      </c>
      <c r="H102" s="4">
        <f ca="1">IFERROR(VLOOKUP(I10,input_all!$AQ$3:$AS$10,3),0)/1000</f>
        <v>0</v>
      </c>
      <c r="I102" s="4">
        <f ca="1">IFERROR(VLOOKUP(J10,input_all!$AQ$3:$AS$10,3),0)/1000</f>
        <v>0</v>
      </c>
      <c r="J102" s="4">
        <f ca="1">IFERROR(VLOOKUP(K10,input_all!$AQ$3:$AS$10,3),0)/1000</f>
        <v>0</v>
      </c>
      <c r="K102" s="4">
        <f ca="1">IFERROR(VLOOKUP(L10,input_all!$AQ$3:$AS$10,3),0)/1000</f>
        <v>0</v>
      </c>
      <c r="L102" s="4">
        <f ca="1">IFERROR(VLOOKUP(M10,input_all!$AQ$3:$AS$10,3),0)/1000</f>
        <v>0</v>
      </c>
      <c r="M102" s="4">
        <f ca="1">IFERROR(VLOOKUP(N10,input_all!$AQ$3:$AS$10,3),0)/1000</f>
        <v>0</v>
      </c>
      <c r="N102" s="4">
        <f ca="1">IFERROR(VLOOKUP(O10,input_all!$AQ$3:$AS$10,3),0)/1000</f>
        <v>0</v>
      </c>
    </row>
    <row r="103" spans="1:14">
      <c r="A103" s="4">
        <f>A59</f>
        <v>0</v>
      </c>
      <c r="B103" s="4">
        <f ca="1">IFERROR(VLOOKUP(C11,input_all!$AQ$3:$AS$10,3),0)/1000</f>
        <v>0</v>
      </c>
      <c r="C103" s="4">
        <f ca="1">IFERROR(VLOOKUP(D11,input_all!$AQ$3:$AS$10,3),0)/1000</f>
        <v>0</v>
      </c>
      <c r="D103" s="4">
        <f ca="1">IFERROR(VLOOKUP(E11,input_all!$AQ$3:$AS$10,3),0)/1000</f>
        <v>0</v>
      </c>
      <c r="E103" s="4">
        <f ca="1">IFERROR(VLOOKUP(F11,input_all!$AQ$3:$AS$10,3),0)/1000</f>
        <v>0</v>
      </c>
      <c r="F103" s="4">
        <f ca="1">IFERROR(VLOOKUP(G11,input_all!$AQ$3:$AS$10,3),0)/1000</f>
        <v>0</v>
      </c>
      <c r="G103" s="4">
        <f ca="1">IFERROR(VLOOKUP(H11,input_all!$AQ$3:$AS$10,3),0)/1000</f>
        <v>0</v>
      </c>
      <c r="H103" s="4">
        <f ca="1">IFERROR(VLOOKUP(I11,input_all!$AQ$3:$AS$10,3),0)/1000</f>
        <v>0</v>
      </c>
      <c r="I103" s="4">
        <f ca="1">IFERROR(VLOOKUP(J11,input_all!$AQ$3:$AS$10,3),0)/1000</f>
        <v>0</v>
      </c>
      <c r="J103" s="4">
        <f ca="1">IFERROR(VLOOKUP(K11,input_all!$AQ$3:$AS$10,3),0)/1000</f>
        <v>0</v>
      </c>
      <c r="K103" s="4">
        <f ca="1">IFERROR(VLOOKUP(L11,input_all!$AQ$3:$AS$10,3),0)/1000</f>
        <v>0</v>
      </c>
      <c r="L103" s="4">
        <f ca="1">IFERROR(VLOOKUP(M11,input_all!$AQ$3:$AS$10,3),0)/1000</f>
        <v>0</v>
      </c>
      <c r="M103" s="4">
        <f ca="1">IFERROR(VLOOKUP(N11,input_all!$AQ$3:$AS$10,3),0)/1000</f>
        <v>0</v>
      </c>
      <c r="N103" s="4">
        <f ca="1">IFERROR(VLOOKUP(O11,input_all!$AQ$3:$AS$10,3),0)/1000</f>
        <v>0</v>
      </c>
    </row>
    <row r="104" spans="1:14">
      <c r="A104" s="4">
        <f>A60</f>
        <v>0</v>
      </c>
      <c r="B104" s="4">
        <f ca="1">IFERROR(VLOOKUP(C12,input_all!$AQ$3:$AS$10,3),0)/1000</f>
        <v>0</v>
      </c>
      <c r="C104" s="4">
        <f ca="1">IFERROR(VLOOKUP(D12,input_all!$AQ$3:$AS$10,3),0)/1000</f>
        <v>0</v>
      </c>
      <c r="D104" s="4">
        <f ca="1">IFERROR(VLOOKUP(E12,input_all!$AQ$3:$AS$10,3),0)/1000</f>
        <v>0</v>
      </c>
      <c r="E104" s="4">
        <f ca="1">IFERROR(VLOOKUP(F12,input_all!$AQ$3:$AS$10,3),0)/1000</f>
        <v>0</v>
      </c>
      <c r="F104" s="4">
        <f ca="1">IFERROR(VLOOKUP(G12,input_all!$AQ$3:$AS$10,3),0)/1000</f>
        <v>0</v>
      </c>
      <c r="G104" s="4">
        <f ca="1">IFERROR(VLOOKUP(H12,input_all!$AQ$3:$AS$10,3),0)/1000</f>
        <v>0</v>
      </c>
      <c r="H104" s="4">
        <f ca="1">IFERROR(VLOOKUP(I12,input_all!$AQ$3:$AS$10,3),0)/1000</f>
        <v>0</v>
      </c>
      <c r="I104" s="4">
        <f ca="1">IFERROR(VLOOKUP(J12,input_all!$AQ$3:$AS$10,3),0)/1000</f>
        <v>0</v>
      </c>
      <c r="J104" s="4">
        <f ca="1">IFERROR(VLOOKUP(K12,input_all!$AQ$3:$AS$10,3),0)/1000</f>
        <v>0</v>
      </c>
      <c r="K104" s="4">
        <f ca="1">IFERROR(VLOOKUP(L12,input_all!$AQ$3:$AS$10,3),0)/1000</f>
        <v>0</v>
      </c>
      <c r="L104" s="4">
        <f ca="1">IFERROR(VLOOKUP(M12,input_all!$AQ$3:$AS$10,3),0)/1000</f>
        <v>0</v>
      </c>
      <c r="M104" s="4">
        <f ca="1">IFERROR(VLOOKUP(N12,input_all!$AQ$3:$AS$10,3),0)/1000</f>
        <v>0</v>
      </c>
      <c r="N104" s="4">
        <f ca="1">IFERROR(VLOOKUP(O12,input_all!$AQ$3:$AS$10,3),0)/1000</f>
        <v>0</v>
      </c>
    </row>
    <row r="105" spans="1:14">
      <c r="A105" s="4">
        <f>A61</f>
        <v>0</v>
      </c>
      <c r="B105" s="4">
        <f ca="1">IFERROR(VLOOKUP(C13,input_all!$AQ$3:$AS$10,3),0)/1000</f>
        <v>0</v>
      </c>
      <c r="C105" s="4">
        <f ca="1">IFERROR(VLOOKUP(D13,input_all!$AQ$3:$AS$10,3),0)/1000</f>
        <v>0</v>
      </c>
      <c r="D105" s="4">
        <f ca="1">IFERROR(VLOOKUP(E13,input_all!$AQ$3:$AS$10,3),0)/1000</f>
        <v>0</v>
      </c>
      <c r="E105" s="4">
        <f ca="1">IFERROR(VLOOKUP(F13,input_all!$AQ$3:$AS$10,3),0)/1000</f>
        <v>0</v>
      </c>
      <c r="F105" s="4">
        <f ca="1">IFERROR(VLOOKUP(G13,input_all!$AQ$3:$AS$10,3),0)/1000</f>
        <v>0</v>
      </c>
      <c r="G105" s="4">
        <f ca="1">IFERROR(VLOOKUP(H13,input_all!$AQ$3:$AS$10,3),0)/1000</f>
        <v>0</v>
      </c>
      <c r="H105" s="4">
        <f ca="1">IFERROR(VLOOKUP(I13,input_all!$AQ$3:$AS$10,3),0)/1000</f>
        <v>0</v>
      </c>
      <c r="I105" s="4">
        <f ca="1">IFERROR(VLOOKUP(J13,input_all!$AQ$3:$AS$10,3),0)/1000</f>
        <v>0</v>
      </c>
      <c r="J105" s="4">
        <f ca="1">IFERROR(VLOOKUP(K13,input_all!$AQ$3:$AS$10,3),0)/1000</f>
        <v>0</v>
      </c>
      <c r="K105" s="4">
        <f ca="1">IFERROR(VLOOKUP(L13,input_all!$AQ$3:$AS$10,3),0)/1000</f>
        <v>0</v>
      </c>
      <c r="L105" s="4">
        <f ca="1">IFERROR(VLOOKUP(M13,input_all!$AQ$3:$AS$10,3),0)/1000</f>
        <v>0</v>
      </c>
      <c r="M105" s="4">
        <f ca="1">IFERROR(VLOOKUP(N13,input_all!$AQ$3:$AS$10,3),0)/1000</f>
        <v>0</v>
      </c>
      <c r="N105" s="4">
        <f ca="1">IFERROR(VLOOKUP(O13,input_all!$AQ$3:$AS$10,3),0)/1000</f>
        <v>0</v>
      </c>
    </row>
    <row r="108" spans="1:14">
      <c r="A108" s="4">
        <f>A50</f>
        <v>0</v>
      </c>
      <c r="B108" s="29">
        <f ca="1">IFERROR(VLOOKUP(C2,input_all!$AQ$3:$AT$10,4),0)</f>
        <v>10</v>
      </c>
      <c r="C108" s="29">
        <f ca="1">IFERROR(VLOOKUP(D2,input_all!$AQ$3:$AT$10,4),0)</f>
        <v>3.7</v>
      </c>
      <c r="D108" s="29">
        <f ca="1">IFERROR(VLOOKUP(E2,input_all!$AQ$3:$AT$10,4),0)</f>
        <v>27.5</v>
      </c>
      <c r="E108" s="29">
        <f ca="1">IFERROR(VLOOKUP(F2,input_all!$AQ$3:$AT$10,4),0)</f>
        <v>0.5</v>
      </c>
      <c r="F108" s="29">
        <f ca="1">IFERROR(VLOOKUP(G2,input_all!$AQ$3:$AT$10,4),0)</f>
        <v>0</v>
      </c>
      <c r="G108" s="29">
        <f ca="1">IFERROR(VLOOKUP(H2,input_all!$AQ$3:$AT$10,4),0)</f>
        <v>0</v>
      </c>
      <c r="H108" s="29">
        <f ca="1">IFERROR(VLOOKUP(I2,input_all!$AQ$3:$AT$10,4),0)</f>
        <v>1.2</v>
      </c>
      <c r="I108" s="29">
        <f ca="1">IFERROR(VLOOKUP(J2,input_all!$AQ$3:$AT$10,4),0)</f>
        <v>0.45</v>
      </c>
      <c r="J108" s="29">
        <f ca="1">IFERROR(VLOOKUP(K2,input_all!$AQ$3:$AT$10,4),0)</f>
        <v>0.5</v>
      </c>
      <c r="K108" s="29">
        <f ca="1">IFERROR(VLOOKUP(L2,input_all!$AQ$3:$AT$10,4),0)</f>
        <v>2.8E-3</v>
      </c>
      <c r="L108" s="29">
        <f ca="1">IFERROR(VLOOKUP(M2,input_all!$AQ$3:$AT$10,4),0)</f>
        <v>0</v>
      </c>
      <c r="M108" s="29">
        <f ca="1">IFERROR(VLOOKUP(N2,input_all!$AQ$3:$AT$10,4),0)</f>
        <v>0</v>
      </c>
      <c r="N108" s="29">
        <f ca="1">IFERROR(VLOOKUP(O2,input_all!$AQ$3:$AT$10,4),0)</f>
        <v>0</v>
      </c>
    </row>
    <row r="109" spans="1:14">
      <c r="A109" s="4">
        <f t="shared" ref="A109:A119" si="41">A51</f>
        <v>1</v>
      </c>
      <c r="B109" s="29">
        <f ca="1">IFERROR(VLOOKUP(C3,input_all!$AQ$3:$AT$10,4),0)</f>
        <v>1.2</v>
      </c>
      <c r="C109" s="29">
        <f ca="1">IFERROR(VLOOKUP(D3,input_all!$AQ$3:$AT$10,4),0)</f>
        <v>0</v>
      </c>
      <c r="D109" s="29">
        <f ca="1">IFERROR(VLOOKUP(E3,input_all!$AQ$3:$AT$10,4),0)</f>
        <v>0</v>
      </c>
      <c r="E109" s="29">
        <f ca="1">IFERROR(VLOOKUP(F3,input_all!$AQ$3:$AT$10,4),0)</f>
        <v>0</v>
      </c>
      <c r="F109" s="29">
        <f ca="1">IFERROR(VLOOKUP(G3,input_all!$AQ$3:$AT$10,4),0)</f>
        <v>0</v>
      </c>
      <c r="G109" s="29">
        <f ca="1">IFERROR(VLOOKUP(H3,input_all!$AQ$3:$AT$10,4),0)</f>
        <v>0</v>
      </c>
      <c r="H109" s="29">
        <f ca="1">IFERROR(VLOOKUP(I3,input_all!$AQ$3:$AT$10,4),0)</f>
        <v>0.45</v>
      </c>
      <c r="I109" s="29">
        <f ca="1">IFERROR(VLOOKUP(J3,input_all!$AQ$3:$AT$10,4),0)</f>
        <v>0.5</v>
      </c>
      <c r="J109" s="29">
        <f ca="1">IFERROR(VLOOKUP(K3,input_all!$AQ$3:$AT$10,4),0)</f>
        <v>2.8E-3</v>
      </c>
      <c r="K109" s="29">
        <f ca="1">IFERROR(VLOOKUP(L3,input_all!$AQ$3:$AT$10,4),0)</f>
        <v>0</v>
      </c>
      <c r="L109" s="29">
        <f ca="1">IFERROR(VLOOKUP(M3,input_all!$AQ$3:$AT$10,4),0)</f>
        <v>0</v>
      </c>
      <c r="M109" s="29">
        <f ca="1">IFERROR(VLOOKUP(N3,input_all!$AQ$3:$AT$10,4),0)</f>
        <v>0</v>
      </c>
      <c r="N109" s="29">
        <f ca="1">IFERROR(VLOOKUP(O3,input_all!$AQ$3:$AT$10,4),0)</f>
        <v>0</v>
      </c>
    </row>
    <row r="110" spans="1:14">
      <c r="A110" s="4">
        <f t="shared" si="41"/>
        <v>1.1000000000000001</v>
      </c>
      <c r="B110" s="29">
        <f ca="1">IFERROR(VLOOKUP(C4,input_all!$AQ$3:$AT$10,4),0)</f>
        <v>2.8E-3</v>
      </c>
      <c r="C110" s="29">
        <f ca="1">IFERROR(VLOOKUP(D4,input_all!$AQ$3:$AT$10,4),0)</f>
        <v>0</v>
      </c>
      <c r="D110" s="29">
        <f ca="1">IFERROR(VLOOKUP(E4,input_all!$AQ$3:$AT$10,4),0)</f>
        <v>0</v>
      </c>
      <c r="E110" s="29">
        <f ca="1">IFERROR(VLOOKUP(F4,input_all!$AQ$3:$AT$10,4),0)</f>
        <v>0</v>
      </c>
      <c r="F110" s="29">
        <f ca="1">IFERROR(VLOOKUP(G4,input_all!$AQ$3:$AT$10,4),0)</f>
        <v>0</v>
      </c>
      <c r="G110" s="29">
        <f ca="1">IFERROR(VLOOKUP(H4,input_all!$AQ$3:$AT$10,4),0)</f>
        <v>0</v>
      </c>
      <c r="H110" s="29">
        <f ca="1">IFERROR(VLOOKUP(I4,input_all!$AQ$3:$AT$10,4),0)</f>
        <v>0.5</v>
      </c>
      <c r="I110" s="29">
        <f ca="1">IFERROR(VLOOKUP(J4,input_all!$AQ$3:$AT$10,4),0)</f>
        <v>0.45</v>
      </c>
      <c r="J110" s="29">
        <f ca="1">IFERROR(VLOOKUP(K4,input_all!$AQ$3:$AT$10,4),0)</f>
        <v>0</v>
      </c>
      <c r="K110" s="29">
        <f ca="1">IFERROR(VLOOKUP(L4,input_all!$AQ$3:$AT$10,4),0)</f>
        <v>0</v>
      </c>
      <c r="L110" s="29">
        <f ca="1">IFERROR(VLOOKUP(M4,input_all!$AQ$3:$AT$10,4),0)</f>
        <v>0</v>
      </c>
      <c r="M110" s="29">
        <f ca="1">IFERROR(VLOOKUP(N4,input_all!$AQ$3:$AT$10,4),0)</f>
        <v>0</v>
      </c>
      <c r="N110" s="29">
        <f ca="1">IFERROR(VLOOKUP(O4,input_all!$AQ$3:$AT$10,4),0)</f>
        <v>0</v>
      </c>
    </row>
    <row r="111" spans="1:14">
      <c r="A111" s="4">
        <f t="shared" si="41"/>
        <v>1.1100000000000001</v>
      </c>
      <c r="B111" s="29">
        <f ca="1">IFERROR(VLOOKUP(C5,input_all!$AQ$3:$AT$10,4),0)</f>
        <v>0.45</v>
      </c>
      <c r="C111" s="29">
        <f ca="1">IFERROR(VLOOKUP(D5,input_all!$AQ$3:$AT$10,4),0)</f>
        <v>0</v>
      </c>
      <c r="D111" s="29">
        <f ca="1">IFERROR(VLOOKUP(E5,input_all!$AQ$3:$AT$10,4),0)</f>
        <v>0</v>
      </c>
      <c r="E111" s="29">
        <f ca="1">IFERROR(VLOOKUP(F5,input_all!$AQ$3:$AT$10,4),0)</f>
        <v>0</v>
      </c>
      <c r="F111" s="29">
        <f ca="1">IFERROR(VLOOKUP(G5,input_all!$AQ$3:$AT$10,4),0)</f>
        <v>0</v>
      </c>
      <c r="G111" s="29">
        <f ca="1">IFERROR(VLOOKUP(H5,input_all!$AQ$3:$AT$10,4),0)</f>
        <v>0</v>
      </c>
      <c r="H111" s="29">
        <f ca="1">IFERROR(VLOOKUP(I5,input_all!$AQ$3:$AT$10,4),0)</f>
        <v>0.5</v>
      </c>
      <c r="I111" s="29">
        <f ca="1">IFERROR(VLOOKUP(J5,input_all!$AQ$3:$AT$10,4),0)</f>
        <v>0</v>
      </c>
      <c r="J111" s="29">
        <f ca="1">IFERROR(VLOOKUP(K5,input_all!$AQ$3:$AT$10,4),0)</f>
        <v>0</v>
      </c>
      <c r="K111" s="29">
        <f ca="1">IFERROR(VLOOKUP(L5,input_all!$AQ$3:$AT$10,4),0)</f>
        <v>0</v>
      </c>
      <c r="L111" s="29">
        <f ca="1">IFERROR(VLOOKUP(M5,input_all!$AQ$3:$AT$10,4),0)</f>
        <v>0</v>
      </c>
      <c r="M111" s="29">
        <f ca="1">IFERROR(VLOOKUP(N5,input_all!$AQ$3:$AT$10,4),0)</f>
        <v>0</v>
      </c>
      <c r="N111" s="29">
        <f ca="1">IFERROR(VLOOKUP(O5,input_all!$AQ$3:$AT$10,4),0)</f>
        <v>0</v>
      </c>
    </row>
    <row r="112" spans="1:14">
      <c r="A112" s="4">
        <f t="shared" si="41"/>
        <v>-1</v>
      </c>
      <c r="B112" s="29">
        <f ca="1">IFERROR(VLOOKUP(C6,input_all!$AQ$3:$AT$10,4),0)</f>
        <v>10</v>
      </c>
      <c r="C112" s="29">
        <f ca="1">IFERROR(VLOOKUP(D6,input_all!$AQ$3:$AT$10,4),0)</f>
        <v>0</v>
      </c>
      <c r="D112" s="29">
        <f ca="1">IFERROR(VLOOKUP(E6,input_all!$AQ$3:$AT$10,4),0)</f>
        <v>0</v>
      </c>
      <c r="E112" s="29">
        <f ca="1">IFERROR(VLOOKUP(F6,input_all!$AQ$3:$AT$10,4),0)</f>
        <v>0</v>
      </c>
      <c r="F112" s="29">
        <f ca="1">IFERROR(VLOOKUP(G6,input_all!$AQ$3:$AT$10,4),0)</f>
        <v>0</v>
      </c>
      <c r="G112" s="29">
        <f ca="1">IFERROR(VLOOKUP(H6,input_all!$AQ$3:$AT$10,4),0)</f>
        <v>0</v>
      </c>
      <c r="H112" s="29">
        <f ca="1">IFERROR(VLOOKUP(I6,input_all!$AQ$3:$AT$10,4),0)</f>
        <v>27.5</v>
      </c>
      <c r="I112" s="29">
        <f ca="1">IFERROR(VLOOKUP(J6,input_all!$AQ$3:$AT$10,4),0)</f>
        <v>0.5</v>
      </c>
      <c r="J112" s="29">
        <f ca="1">IFERROR(VLOOKUP(K6,input_all!$AQ$3:$AT$10,4),0)</f>
        <v>3.7</v>
      </c>
      <c r="K112" s="29">
        <f ca="1">IFERROR(VLOOKUP(L6,input_all!$AQ$3:$AT$10,4),0)</f>
        <v>0</v>
      </c>
      <c r="L112" s="29">
        <f ca="1">IFERROR(VLOOKUP(M6,input_all!$AQ$3:$AT$10,4),0)</f>
        <v>0</v>
      </c>
      <c r="M112" s="29">
        <f ca="1">IFERROR(VLOOKUP(N6,input_all!$AQ$3:$AT$10,4),0)</f>
        <v>0</v>
      </c>
      <c r="N112" s="29">
        <f ca="1">IFERROR(VLOOKUP(O6,input_all!$AQ$3:$AT$10,4),0)</f>
        <v>0</v>
      </c>
    </row>
    <row r="113" spans="1:14">
      <c r="A113" s="4">
        <f t="shared" si="41"/>
        <v>-0.9</v>
      </c>
      <c r="B113" s="29">
        <f ca="1">IFERROR(VLOOKUP(C7,input_all!$AQ$3:$AT$10,4),0)</f>
        <v>3.7</v>
      </c>
      <c r="C113" s="29">
        <f ca="1">IFERROR(VLOOKUP(D7,input_all!$AQ$3:$AT$10,4),0)</f>
        <v>27.5</v>
      </c>
      <c r="D113" s="29">
        <f ca="1">IFERROR(VLOOKUP(E7,input_all!$AQ$3:$AT$10,4),0)</f>
        <v>0</v>
      </c>
      <c r="E113" s="29">
        <f ca="1">IFERROR(VLOOKUP(F7,input_all!$AQ$3:$AT$10,4),0)</f>
        <v>0</v>
      </c>
      <c r="F113" s="29">
        <f ca="1">IFERROR(VLOOKUP(G7,input_all!$AQ$3:$AT$10,4),0)</f>
        <v>0</v>
      </c>
      <c r="G113" s="29">
        <f ca="1">IFERROR(VLOOKUP(H7,input_all!$AQ$3:$AT$10,4),0)</f>
        <v>0</v>
      </c>
      <c r="H113" s="29">
        <f ca="1">IFERROR(VLOOKUP(I7,input_all!$AQ$3:$AT$10,4),0)</f>
        <v>0.5</v>
      </c>
      <c r="I113" s="29">
        <f ca="1">IFERROR(VLOOKUP(J7,input_all!$AQ$3:$AT$10,4),0)</f>
        <v>0</v>
      </c>
      <c r="J113" s="29">
        <f ca="1">IFERROR(VLOOKUP(K7,input_all!$AQ$3:$AT$10,4),0)</f>
        <v>0</v>
      </c>
      <c r="K113" s="29">
        <f ca="1">IFERROR(VLOOKUP(L7,input_all!$AQ$3:$AT$10,4),0)</f>
        <v>0</v>
      </c>
      <c r="L113" s="29">
        <f ca="1">IFERROR(VLOOKUP(M7,input_all!$AQ$3:$AT$10,4),0)</f>
        <v>0</v>
      </c>
      <c r="M113" s="29">
        <f ca="1">IFERROR(VLOOKUP(N7,input_all!$AQ$3:$AT$10,4),0)</f>
        <v>0</v>
      </c>
      <c r="N113" s="29">
        <f ca="1">IFERROR(VLOOKUP(O7,input_all!$AQ$3:$AT$10,4),0)</f>
        <v>0</v>
      </c>
    </row>
    <row r="114" spans="1:14">
      <c r="A114" s="4">
        <f t="shared" si="41"/>
        <v>-0.91</v>
      </c>
      <c r="B114" s="29">
        <f ca="1">IFERROR(VLOOKUP(C8,input_all!$AQ$3:$AT$10,4),0)</f>
        <v>3.7</v>
      </c>
      <c r="C114" s="29">
        <f ca="1">IFERROR(VLOOKUP(D8,input_all!$AQ$3:$AT$10,4),0)</f>
        <v>0</v>
      </c>
      <c r="D114" s="29">
        <f ca="1">IFERROR(VLOOKUP(E8,input_all!$AQ$3:$AT$10,4),0)</f>
        <v>0</v>
      </c>
      <c r="E114" s="29">
        <f ca="1">IFERROR(VLOOKUP(F8,input_all!$AQ$3:$AT$10,4),0)</f>
        <v>0</v>
      </c>
      <c r="F114" s="29">
        <f ca="1">IFERROR(VLOOKUP(G8,input_all!$AQ$3:$AT$10,4),0)</f>
        <v>0</v>
      </c>
      <c r="G114" s="29">
        <f ca="1">IFERROR(VLOOKUP(H8,input_all!$AQ$3:$AT$10,4),0)</f>
        <v>0</v>
      </c>
      <c r="H114" s="29">
        <f ca="1">IFERROR(VLOOKUP(I8,input_all!$AQ$3:$AT$10,4),0)</f>
        <v>27.5</v>
      </c>
      <c r="I114" s="29">
        <f ca="1">IFERROR(VLOOKUP(J8,input_all!$AQ$3:$AT$10,4),0)</f>
        <v>0</v>
      </c>
      <c r="J114" s="29">
        <f ca="1">IFERROR(VLOOKUP(K8,input_all!$AQ$3:$AT$10,4),0)</f>
        <v>0</v>
      </c>
      <c r="K114" s="29">
        <f ca="1">IFERROR(VLOOKUP(L8,input_all!$AQ$3:$AT$10,4),0)</f>
        <v>0</v>
      </c>
      <c r="L114" s="29">
        <f ca="1">IFERROR(VLOOKUP(M8,input_all!$AQ$3:$AT$10,4),0)</f>
        <v>0</v>
      </c>
      <c r="M114" s="29">
        <f ca="1">IFERROR(VLOOKUP(N8,input_all!$AQ$3:$AT$10,4),0)</f>
        <v>0</v>
      </c>
      <c r="N114" s="29">
        <f ca="1">IFERROR(VLOOKUP(O8,input_all!$AQ$3:$AT$10,4),0)</f>
        <v>0</v>
      </c>
    </row>
    <row r="115" spans="1:14">
      <c r="A115" s="4">
        <f t="shared" si="41"/>
        <v>0</v>
      </c>
      <c r="B115" s="29">
        <f ca="1">IFERROR(VLOOKUP(C9,input_all!$AQ$3:$AT$10,4),0)</f>
        <v>0</v>
      </c>
      <c r="C115" s="29">
        <f ca="1">IFERROR(VLOOKUP(D9,input_all!$AQ$3:$AT$10,4),0)</f>
        <v>0</v>
      </c>
      <c r="D115" s="29">
        <f ca="1">IFERROR(VLOOKUP(E9,input_all!$AQ$3:$AT$10,4),0)</f>
        <v>0</v>
      </c>
      <c r="E115" s="29">
        <f ca="1">IFERROR(VLOOKUP(F9,input_all!$AQ$3:$AT$10,4),0)</f>
        <v>0</v>
      </c>
      <c r="F115" s="29">
        <f ca="1">IFERROR(VLOOKUP(G9,input_all!$AQ$3:$AT$10,4),0)</f>
        <v>0</v>
      </c>
      <c r="G115" s="29">
        <f ca="1">IFERROR(VLOOKUP(H9,input_all!$AQ$3:$AT$10,4),0)</f>
        <v>0</v>
      </c>
      <c r="H115" s="29">
        <f ca="1">IFERROR(VLOOKUP(I9,input_all!$AQ$3:$AT$10,4),0)</f>
        <v>0</v>
      </c>
      <c r="I115" s="29">
        <f ca="1">IFERROR(VLOOKUP(J9,input_all!$AQ$3:$AT$10,4),0)</f>
        <v>0</v>
      </c>
      <c r="J115" s="29">
        <f ca="1">IFERROR(VLOOKUP(K9,input_all!$AQ$3:$AT$10,4),0)</f>
        <v>0</v>
      </c>
      <c r="K115" s="29">
        <f ca="1">IFERROR(VLOOKUP(L9,input_all!$AQ$3:$AT$10,4),0)</f>
        <v>0</v>
      </c>
      <c r="L115" s="29">
        <f ca="1">IFERROR(VLOOKUP(M9,input_all!$AQ$3:$AT$10,4),0)</f>
        <v>0</v>
      </c>
      <c r="M115" s="29">
        <f ca="1">IFERROR(VLOOKUP(N9,input_all!$AQ$3:$AT$10,4),0)</f>
        <v>0</v>
      </c>
      <c r="N115" s="29">
        <f ca="1">IFERROR(VLOOKUP(O9,input_all!$AQ$3:$AT$10,4),0)</f>
        <v>0</v>
      </c>
    </row>
    <row r="116" spans="1:14">
      <c r="A116" s="4">
        <f t="shared" si="41"/>
        <v>0</v>
      </c>
      <c r="B116" s="29">
        <f ca="1">IFERROR(VLOOKUP(C10,input_all!$AQ$3:$AT$10,4),0)</f>
        <v>0</v>
      </c>
      <c r="C116" s="29">
        <f ca="1">IFERROR(VLOOKUP(D10,input_all!$AQ$3:$AT$10,4),0)</f>
        <v>0</v>
      </c>
      <c r="D116" s="29">
        <f ca="1">IFERROR(VLOOKUP(E10,input_all!$AQ$3:$AT$10,4),0)</f>
        <v>0</v>
      </c>
      <c r="E116" s="29">
        <f ca="1">IFERROR(VLOOKUP(F10,input_all!$AQ$3:$AT$10,4),0)</f>
        <v>0</v>
      </c>
      <c r="F116" s="29">
        <f ca="1">IFERROR(VLOOKUP(G10,input_all!$AQ$3:$AT$10,4),0)</f>
        <v>0</v>
      </c>
      <c r="G116" s="29">
        <f ca="1">IFERROR(VLOOKUP(H10,input_all!$AQ$3:$AT$10,4),0)</f>
        <v>0</v>
      </c>
      <c r="H116" s="29">
        <f ca="1">IFERROR(VLOOKUP(I10,input_all!$AQ$3:$AT$10,4),0)</f>
        <v>0</v>
      </c>
      <c r="I116" s="29">
        <f ca="1">IFERROR(VLOOKUP(J10,input_all!$AQ$3:$AT$10,4),0)</f>
        <v>0</v>
      </c>
      <c r="J116" s="29">
        <f ca="1">IFERROR(VLOOKUP(K10,input_all!$AQ$3:$AT$10,4),0)</f>
        <v>0</v>
      </c>
      <c r="K116" s="29">
        <f ca="1">IFERROR(VLOOKUP(L10,input_all!$AQ$3:$AT$10,4),0)</f>
        <v>0</v>
      </c>
      <c r="L116" s="29">
        <f ca="1">IFERROR(VLOOKUP(M10,input_all!$AQ$3:$AT$10,4),0)</f>
        <v>0</v>
      </c>
      <c r="M116" s="29">
        <f ca="1">IFERROR(VLOOKUP(N10,input_all!$AQ$3:$AT$10,4),0)</f>
        <v>0</v>
      </c>
      <c r="N116" s="29">
        <f ca="1">IFERROR(VLOOKUP(O10,input_all!$AQ$3:$AT$10,4),0)</f>
        <v>0</v>
      </c>
    </row>
    <row r="117" spans="1:14">
      <c r="A117" s="4">
        <f t="shared" si="41"/>
        <v>0</v>
      </c>
      <c r="B117" s="29">
        <f ca="1">IFERROR(VLOOKUP(C11,input_all!$AQ$3:$AT$10,4),0)</f>
        <v>0</v>
      </c>
      <c r="C117" s="29">
        <f ca="1">IFERROR(VLOOKUP(D11,input_all!$AQ$3:$AT$10,4),0)</f>
        <v>0</v>
      </c>
      <c r="D117" s="29">
        <f ca="1">IFERROR(VLOOKUP(E11,input_all!$AQ$3:$AT$10,4),0)</f>
        <v>0</v>
      </c>
      <c r="E117" s="29">
        <f ca="1">IFERROR(VLOOKUP(F11,input_all!$AQ$3:$AT$10,4),0)</f>
        <v>0</v>
      </c>
      <c r="F117" s="29">
        <f ca="1">IFERROR(VLOOKUP(G11,input_all!$AQ$3:$AT$10,4),0)</f>
        <v>0</v>
      </c>
      <c r="G117" s="29">
        <f ca="1">IFERROR(VLOOKUP(H11,input_all!$AQ$3:$AT$10,4),0)</f>
        <v>0</v>
      </c>
      <c r="H117" s="29">
        <f ca="1">IFERROR(VLOOKUP(I11,input_all!$AQ$3:$AT$10,4),0)</f>
        <v>0</v>
      </c>
      <c r="I117" s="29">
        <f ca="1">IFERROR(VLOOKUP(J11,input_all!$AQ$3:$AT$10,4),0)</f>
        <v>0</v>
      </c>
      <c r="J117" s="29">
        <f ca="1">IFERROR(VLOOKUP(K11,input_all!$AQ$3:$AT$10,4),0)</f>
        <v>0</v>
      </c>
      <c r="K117" s="29">
        <f ca="1">IFERROR(VLOOKUP(L11,input_all!$AQ$3:$AT$10,4),0)</f>
        <v>0</v>
      </c>
      <c r="L117" s="29">
        <f ca="1">IFERROR(VLOOKUP(M11,input_all!$AQ$3:$AT$10,4),0)</f>
        <v>0</v>
      </c>
      <c r="M117" s="29">
        <f ca="1">IFERROR(VLOOKUP(N11,input_all!$AQ$3:$AT$10,4),0)</f>
        <v>0</v>
      </c>
      <c r="N117" s="29">
        <f ca="1">IFERROR(VLOOKUP(O11,input_all!$AQ$3:$AT$10,4),0)</f>
        <v>0</v>
      </c>
    </row>
    <row r="118" spans="1:14">
      <c r="A118" s="4">
        <f t="shared" si="41"/>
        <v>0</v>
      </c>
      <c r="B118" s="29">
        <f ca="1">IFERROR(VLOOKUP(C12,input_all!$AQ$3:$AT$10,4),0)</f>
        <v>0</v>
      </c>
      <c r="C118" s="29">
        <f ca="1">IFERROR(VLOOKUP(D12,input_all!$AQ$3:$AT$10,4),0)</f>
        <v>0</v>
      </c>
      <c r="D118" s="29">
        <f ca="1">IFERROR(VLOOKUP(E12,input_all!$AQ$3:$AT$10,4),0)</f>
        <v>0</v>
      </c>
      <c r="E118" s="29">
        <f ca="1">IFERROR(VLOOKUP(F12,input_all!$AQ$3:$AT$10,4),0)</f>
        <v>0</v>
      </c>
      <c r="F118" s="29">
        <f ca="1">IFERROR(VLOOKUP(G12,input_all!$AQ$3:$AT$10,4),0)</f>
        <v>0</v>
      </c>
      <c r="G118" s="29">
        <f ca="1">IFERROR(VLOOKUP(H12,input_all!$AQ$3:$AT$10,4),0)</f>
        <v>0</v>
      </c>
      <c r="H118" s="29">
        <f ca="1">IFERROR(VLOOKUP(I12,input_all!$AQ$3:$AT$10,4),0)</f>
        <v>0</v>
      </c>
      <c r="I118" s="29">
        <f ca="1">IFERROR(VLOOKUP(J12,input_all!$AQ$3:$AT$10,4),0)</f>
        <v>0</v>
      </c>
      <c r="J118" s="29">
        <f ca="1">IFERROR(VLOOKUP(K12,input_all!$AQ$3:$AT$10,4),0)</f>
        <v>0</v>
      </c>
      <c r="K118" s="29">
        <f ca="1">IFERROR(VLOOKUP(L12,input_all!$AQ$3:$AT$10,4),0)</f>
        <v>0</v>
      </c>
      <c r="L118" s="29">
        <f ca="1">IFERROR(VLOOKUP(M12,input_all!$AQ$3:$AT$10,4),0)</f>
        <v>0</v>
      </c>
      <c r="M118" s="29">
        <f ca="1">IFERROR(VLOOKUP(N12,input_all!$AQ$3:$AT$10,4),0)</f>
        <v>0</v>
      </c>
      <c r="N118" s="29">
        <f ca="1">IFERROR(VLOOKUP(O12,input_all!$AQ$3:$AT$10,4),0)</f>
        <v>0</v>
      </c>
    </row>
    <row r="119" spans="1:14">
      <c r="A119" s="4">
        <f t="shared" si="41"/>
        <v>0</v>
      </c>
      <c r="B119" s="29">
        <f ca="1">IFERROR(VLOOKUP(C13,input_all!$AQ$3:$AT$10,4),0)</f>
        <v>0</v>
      </c>
      <c r="C119" s="29">
        <f ca="1">IFERROR(VLOOKUP(D13,input_all!$AQ$3:$AT$10,4),0)</f>
        <v>0</v>
      </c>
      <c r="D119" s="29">
        <f ca="1">IFERROR(VLOOKUP(E13,input_all!$AQ$3:$AT$10,4),0)</f>
        <v>0</v>
      </c>
      <c r="E119" s="29">
        <f ca="1">IFERROR(VLOOKUP(F13,input_all!$AQ$3:$AT$10,4),0)</f>
        <v>0</v>
      </c>
      <c r="F119" s="29">
        <f ca="1">IFERROR(VLOOKUP(G13,input_all!$AQ$3:$AT$10,4),0)</f>
        <v>0</v>
      </c>
      <c r="G119" s="29">
        <f ca="1">IFERROR(VLOOKUP(H13,input_all!$AQ$3:$AT$10,4),0)</f>
        <v>0</v>
      </c>
      <c r="H119" s="29">
        <f ca="1">IFERROR(VLOOKUP(I13,input_all!$AQ$3:$AT$10,4),0)</f>
        <v>0</v>
      </c>
      <c r="I119" s="29">
        <f ca="1">IFERROR(VLOOKUP(J13,input_all!$AQ$3:$AT$10,4),0)</f>
        <v>0</v>
      </c>
      <c r="J119" s="29">
        <f ca="1">IFERROR(VLOOKUP(K13,input_all!$AQ$3:$AT$10,4),0)</f>
        <v>0</v>
      </c>
      <c r="K119" s="29">
        <f ca="1">IFERROR(VLOOKUP(L13,input_all!$AQ$3:$AT$10,4),0)</f>
        <v>0</v>
      </c>
      <c r="L119" s="29">
        <f ca="1">IFERROR(VLOOKUP(M13,input_all!$AQ$3:$AT$10,4),0)</f>
        <v>0</v>
      </c>
      <c r="M119" s="29">
        <f ca="1">IFERROR(VLOOKUP(N13,input_all!$AQ$3:$AT$10,4),0)</f>
        <v>0</v>
      </c>
      <c r="N119" s="29">
        <f ca="1">IFERROR(VLOOKUP(O13,input_all!$AQ$3:$AT$10,4),0)</f>
        <v>0</v>
      </c>
    </row>
    <row r="122" spans="1:14">
      <c r="A122" s="4">
        <f>A50</f>
        <v>0</v>
      </c>
      <c r="B122" s="4">
        <f ca="1">B108*B94</f>
        <v>6.3E-3</v>
      </c>
      <c r="C122" s="4">
        <f t="shared" ref="C122:N122" ca="1" si="42">C108*C94</f>
        <v>0.21534</v>
      </c>
      <c r="D122" s="4">
        <f t="shared" ca="1" si="42"/>
        <v>0.23265000000000002</v>
      </c>
      <c r="E122" s="4">
        <f t="shared" ca="1" si="42"/>
        <v>7.0149999999999995E-3</v>
      </c>
      <c r="F122" s="4">
        <f t="shared" ca="1" si="42"/>
        <v>0</v>
      </c>
      <c r="G122" s="4">
        <f t="shared" ca="1" si="42"/>
        <v>0</v>
      </c>
      <c r="H122" s="4">
        <f t="shared" ca="1" si="42"/>
        <v>5.0639999999999999E-3</v>
      </c>
      <c r="I122" s="4">
        <f t="shared" ca="1" si="42"/>
        <v>5.5530000000000006E-3</v>
      </c>
      <c r="J122" s="4">
        <f t="shared" ca="1" si="42"/>
        <v>1.07E-3</v>
      </c>
      <c r="K122" s="4">
        <f t="shared" ca="1" si="42"/>
        <v>2.5200000000000001E-3</v>
      </c>
      <c r="L122" s="4">
        <f t="shared" ca="1" si="42"/>
        <v>0</v>
      </c>
      <c r="M122" s="4">
        <f t="shared" ca="1" si="42"/>
        <v>0</v>
      </c>
      <c r="N122" s="4">
        <f t="shared" ca="1" si="42"/>
        <v>0</v>
      </c>
    </row>
    <row r="123" spans="1:14">
      <c r="A123" s="4">
        <f t="shared" ref="A123:A133" si="43">A51</f>
        <v>1</v>
      </c>
      <c r="B123" s="4">
        <f t="shared" ref="B123:N123" ca="1" si="44">B109*B95</f>
        <v>5.0639999999999999E-3</v>
      </c>
      <c r="C123" s="4">
        <f t="shared" ca="1" si="44"/>
        <v>0</v>
      </c>
      <c r="D123" s="4">
        <f t="shared" ca="1" si="44"/>
        <v>0</v>
      </c>
      <c r="E123" s="4">
        <f t="shared" ca="1" si="44"/>
        <v>0</v>
      </c>
      <c r="F123" s="4">
        <f t="shared" ca="1" si="44"/>
        <v>0</v>
      </c>
      <c r="G123" s="4">
        <f t="shared" ca="1" si="44"/>
        <v>0</v>
      </c>
      <c r="H123" s="4">
        <f t="shared" ca="1" si="44"/>
        <v>5.5530000000000006E-3</v>
      </c>
      <c r="I123" s="4">
        <f t="shared" ca="1" si="44"/>
        <v>1.07E-3</v>
      </c>
      <c r="J123" s="4">
        <f t="shared" ca="1" si="44"/>
        <v>2.5200000000000001E-3</v>
      </c>
      <c r="K123" s="4">
        <f t="shared" ca="1" si="44"/>
        <v>0</v>
      </c>
      <c r="L123" s="4">
        <f t="shared" ca="1" si="44"/>
        <v>0</v>
      </c>
      <c r="M123" s="4">
        <f t="shared" ca="1" si="44"/>
        <v>0</v>
      </c>
      <c r="N123" s="4">
        <f t="shared" ca="1" si="44"/>
        <v>0</v>
      </c>
    </row>
    <row r="124" spans="1:14">
      <c r="A124" s="4">
        <f t="shared" si="43"/>
        <v>1.1000000000000001</v>
      </c>
      <c r="B124" s="4">
        <f t="shared" ref="B124:N124" ca="1" si="45">B110*B96</f>
        <v>2.5200000000000001E-3</v>
      </c>
      <c r="C124" s="4">
        <f t="shared" ca="1" si="45"/>
        <v>0</v>
      </c>
      <c r="D124" s="4">
        <f t="shared" ca="1" si="45"/>
        <v>0</v>
      </c>
      <c r="E124" s="4">
        <f t="shared" ca="1" si="45"/>
        <v>0</v>
      </c>
      <c r="F124" s="4">
        <f t="shared" ca="1" si="45"/>
        <v>0</v>
      </c>
      <c r="G124" s="4">
        <f t="shared" ca="1" si="45"/>
        <v>0</v>
      </c>
      <c r="H124" s="4">
        <f t="shared" ca="1" si="45"/>
        <v>1.07E-3</v>
      </c>
      <c r="I124" s="4">
        <f t="shared" ca="1" si="45"/>
        <v>5.5530000000000006E-3</v>
      </c>
      <c r="J124" s="4">
        <f t="shared" ca="1" si="45"/>
        <v>0</v>
      </c>
      <c r="K124" s="4">
        <f t="shared" ca="1" si="45"/>
        <v>0</v>
      </c>
      <c r="L124" s="4">
        <f t="shared" ca="1" si="45"/>
        <v>0</v>
      </c>
      <c r="M124" s="4">
        <f t="shared" ca="1" si="45"/>
        <v>0</v>
      </c>
      <c r="N124" s="4">
        <f t="shared" ca="1" si="45"/>
        <v>0</v>
      </c>
    </row>
    <row r="125" spans="1:14">
      <c r="A125" s="4">
        <f t="shared" si="43"/>
        <v>1.1100000000000001</v>
      </c>
      <c r="B125" s="4">
        <f t="shared" ref="B125:N125" ca="1" si="46">B111*B97</f>
        <v>5.5530000000000006E-3</v>
      </c>
      <c r="C125" s="4">
        <f t="shared" ca="1" si="46"/>
        <v>0</v>
      </c>
      <c r="D125" s="4">
        <f t="shared" ca="1" si="46"/>
        <v>0</v>
      </c>
      <c r="E125" s="4">
        <f t="shared" ca="1" si="46"/>
        <v>0</v>
      </c>
      <c r="F125" s="4">
        <f t="shared" ca="1" si="46"/>
        <v>0</v>
      </c>
      <c r="G125" s="4">
        <f t="shared" ca="1" si="46"/>
        <v>0</v>
      </c>
      <c r="H125" s="4">
        <f t="shared" ca="1" si="46"/>
        <v>1.07E-3</v>
      </c>
      <c r="I125" s="4">
        <f t="shared" ca="1" si="46"/>
        <v>0</v>
      </c>
      <c r="J125" s="4">
        <f t="shared" ca="1" si="46"/>
        <v>0</v>
      </c>
      <c r="K125" s="4">
        <f t="shared" ca="1" si="46"/>
        <v>0</v>
      </c>
      <c r="L125" s="4">
        <f t="shared" ca="1" si="46"/>
        <v>0</v>
      </c>
      <c r="M125" s="4">
        <f t="shared" ca="1" si="46"/>
        <v>0</v>
      </c>
      <c r="N125" s="4">
        <f t="shared" ca="1" si="46"/>
        <v>0</v>
      </c>
    </row>
    <row r="126" spans="1:14">
      <c r="A126" s="4">
        <f t="shared" si="43"/>
        <v>-1</v>
      </c>
      <c r="B126" s="4">
        <f t="shared" ref="B126:N126" ca="1" si="47">B112*B98</f>
        <v>6.3E-3</v>
      </c>
      <c r="C126" s="4">
        <f t="shared" ca="1" si="47"/>
        <v>0</v>
      </c>
      <c r="D126" s="4">
        <f t="shared" ca="1" si="47"/>
        <v>0</v>
      </c>
      <c r="E126" s="4">
        <f t="shared" ca="1" si="47"/>
        <v>0</v>
      </c>
      <c r="F126" s="4">
        <f t="shared" ca="1" si="47"/>
        <v>0</v>
      </c>
      <c r="G126" s="4">
        <f t="shared" ca="1" si="47"/>
        <v>0</v>
      </c>
      <c r="H126" s="4">
        <f t="shared" ca="1" si="47"/>
        <v>0.23265000000000002</v>
      </c>
      <c r="I126" s="4">
        <f t="shared" ca="1" si="47"/>
        <v>7.0149999999999995E-3</v>
      </c>
      <c r="J126" s="4">
        <f t="shared" ca="1" si="47"/>
        <v>0.21534</v>
      </c>
      <c r="K126" s="4">
        <f t="shared" ca="1" si="47"/>
        <v>0</v>
      </c>
      <c r="L126" s="4">
        <f t="shared" ca="1" si="47"/>
        <v>0</v>
      </c>
      <c r="M126" s="4">
        <f t="shared" ca="1" si="47"/>
        <v>0</v>
      </c>
      <c r="N126" s="4">
        <f t="shared" ca="1" si="47"/>
        <v>0</v>
      </c>
    </row>
    <row r="127" spans="1:14">
      <c r="A127" s="4">
        <f t="shared" si="43"/>
        <v>-0.9</v>
      </c>
      <c r="B127" s="4">
        <f t="shared" ref="B127:N127" ca="1" si="48">B113*B99</f>
        <v>0.21534</v>
      </c>
      <c r="C127" s="4">
        <f t="shared" ca="1" si="48"/>
        <v>0.23265000000000002</v>
      </c>
      <c r="D127" s="4">
        <f t="shared" ca="1" si="48"/>
        <v>0</v>
      </c>
      <c r="E127" s="4">
        <f t="shared" ca="1" si="48"/>
        <v>0</v>
      </c>
      <c r="F127" s="4">
        <f t="shared" ca="1" si="48"/>
        <v>0</v>
      </c>
      <c r="G127" s="4">
        <f t="shared" ca="1" si="48"/>
        <v>0</v>
      </c>
      <c r="H127" s="4">
        <f t="shared" ca="1" si="48"/>
        <v>7.0149999999999995E-3</v>
      </c>
      <c r="I127" s="4">
        <f t="shared" ca="1" si="48"/>
        <v>0</v>
      </c>
      <c r="J127" s="4">
        <f t="shared" ca="1" si="48"/>
        <v>0</v>
      </c>
      <c r="K127" s="4">
        <f t="shared" ca="1" si="48"/>
        <v>0</v>
      </c>
      <c r="L127" s="4">
        <f t="shared" ca="1" si="48"/>
        <v>0</v>
      </c>
      <c r="M127" s="4">
        <f t="shared" ca="1" si="48"/>
        <v>0</v>
      </c>
      <c r="N127" s="4">
        <f t="shared" ca="1" si="48"/>
        <v>0</v>
      </c>
    </row>
    <row r="128" spans="1:14">
      <c r="A128" s="4">
        <f t="shared" si="43"/>
        <v>-0.91</v>
      </c>
      <c r="B128" s="4">
        <f t="shared" ref="B128:N128" ca="1" si="49">B114*B100</f>
        <v>0.21534</v>
      </c>
      <c r="C128" s="4">
        <f t="shared" ca="1" si="49"/>
        <v>0</v>
      </c>
      <c r="D128" s="4">
        <f t="shared" ca="1" si="49"/>
        <v>0</v>
      </c>
      <c r="E128" s="4">
        <f t="shared" ca="1" si="49"/>
        <v>0</v>
      </c>
      <c r="F128" s="4">
        <f t="shared" ca="1" si="49"/>
        <v>0</v>
      </c>
      <c r="G128" s="4">
        <f t="shared" ca="1" si="49"/>
        <v>0</v>
      </c>
      <c r="H128" s="4">
        <f t="shared" ca="1" si="49"/>
        <v>0.23265000000000002</v>
      </c>
      <c r="I128" s="4">
        <f t="shared" ca="1" si="49"/>
        <v>0</v>
      </c>
      <c r="J128" s="4">
        <f t="shared" ca="1" si="49"/>
        <v>0</v>
      </c>
      <c r="K128" s="4">
        <f t="shared" ca="1" si="49"/>
        <v>0</v>
      </c>
      <c r="L128" s="4">
        <f t="shared" ca="1" si="49"/>
        <v>0</v>
      </c>
      <c r="M128" s="4">
        <f t="shared" ca="1" si="49"/>
        <v>0</v>
      </c>
      <c r="N128" s="4">
        <f t="shared" ca="1" si="49"/>
        <v>0</v>
      </c>
    </row>
    <row r="129" spans="1:17">
      <c r="A129" s="4">
        <f t="shared" si="43"/>
        <v>0</v>
      </c>
      <c r="B129" s="4">
        <f t="shared" ref="B129:N129" ca="1" si="50">B115*B101</f>
        <v>0</v>
      </c>
      <c r="C129" s="4">
        <f t="shared" ca="1" si="50"/>
        <v>0</v>
      </c>
      <c r="D129" s="4">
        <f t="shared" ca="1" si="50"/>
        <v>0</v>
      </c>
      <c r="E129" s="4">
        <f t="shared" ca="1" si="50"/>
        <v>0</v>
      </c>
      <c r="F129" s="4">
        <f t="shared" ca="1" si="50"/>
        <v>0</v>
      </c>
      <c r="G129" s="4">
        <f t="shared" ca="1" si="50"/>
        <v>0</v>
      </c>
      <c r="H129" s="4">
        <f t="shared" ca="1" si="50"/>
        <v>0</v>
      </c>
      <c r="I129" s="4">
        <f t="shared" ca="1" si="50"/>
        <v>0</v>
      </c>
      <c r="J129" s="4">
        <f t="shared" ca="1" si="50"/>
        <v>0</v>
      </c>
      <c r="K129" s="4">
        <f t="shared" ca="1" si="50"/>
        <v>0</v>
      </c>
      <c r="L129" s="4">
        <f t="shared" ca="1" si="50"/>
        <v>0</v>
      </c>
      <c r="M129" s="4">
        <f t="shared" ca="1" si="50"/>
        <v>0</v>
      </c>
      <c r="N129" s="4">
        <f t="shared" ca="1" si="50"/>
        <v>0</v>
      </c>
    </row>
    <row r="130" spans="1:17">
      <c r="A130" s="4">
        <f t="shared" si="43"/>
        <v>0</v>
      </c>
      <c r="B130" s="4">
        <f t="shared" ref="B130:N130" ca="1" si="51">B116*B102</f>
        <v>0</v>
      </c>
      <c r="C130" s="4">
        <f t="shared" ca="1" si="51"/>
        <v>0</v>
      </c>
      <c r="D130" s="4">
        <f t="shared" ca="1" si="51"/>
        <v>0</v>
      </c>
      <c r="E130" s="4">
        <f t="shared" ca="1" si="51"/>
        <v>0</v>
      </c>
      <c r="F130" s="4">
        <f t="shared" ca="1" si="51"/>
        <v>0</v>
      </c>
      <c r="G130" s="4">
        <f t="shared" ca="1" si="51"/>
        <v>0</v>
      </c>
      <c r="H130" s="4">
        <f t="shared" ca="1" si="51"/>
        <v>0</v>
      </c>
      <c r="I130" s="4">
        <f t="shared" ca="1" si="51"/>
        <v>0</v>
      </c>
      <c r="J130" s="4">
        <f t="shared" ca="1" si="51"/>
        <v>0</v>
      </c>
      <c r="K130" s="4">
        <f t="shared" ca="1" si="51"/>
        <v>0</v>
      </c>
      <c r="L130" s="4">
        <f t="shared" ca="1" si="51"/>
        <v>0</v>
      </c>
      <c r="M130" s="4">
        <f t="shared" ca="1" si="51"/>
        <v>0</v>
      </c>
      <c r="N130" s="4">
        <f t="shared" ca="1" si="51"/>
        <v>0</v>
      </c>
    </row>
    <row r="131" spans="1:17">
      <c r="A131" s="4">
        <f t="shared" si="43"/>
        <v>0</v>
      </c>
      <c r="B131" s="4">
        <f t="shared" ref="B131:N131" ca="1" si="52">B117*B103</f>
        <v>0</v>
      </c>
      <c r="C131" s="4">
        <f t="shared" ca="1" si="52"/>
        <v>0</v>
      </c>
      <c r="D131" s="4">
        <f t="shared" ca="1" si="52"/>
        <v>0</v>
      </c>
      <c r="E131" s="4">
        <f t="shared" ca="1" si="52"/>
        <v>0</v>
      </c>
      <c r="F131" s="4">
        <f t="shared" ca="1" si="52"/>
        <v>0</v>
      </c>
      <c r="G131" s="4">
        <f t="shared" ca="1" si="52"/>
        <v>0</v>
      </c>
      <c r="H131" s="4">
        <f t="shared" ca="1" si="52"/>
        <v>0</v>
      </c>
      <c r="I131" s="4">
        <f t="shared" ca="1" si="52"/>
        <v>0</v>
      </c>
      <c r="J131" s="4">
        <f t="shared" ca="1" si="52"/>
        <v>0</v>
      </c>
      <c r="K131" s="4">
        <f t="shared" ca="1" si="52"/>
        <v>0</v>
      </c>
      <c r="L131" s="4">
        <f t="shared" ca="1" si="52"/>
        <v>0</v>
      </c>
      <c r="M131" s="4">
        <f t="shared" ca="1" si="52"/>
        <v>0</v>
      </c>
      <c r="N131" s="4">
        <f t="shared" ca="1" si="52"/>
        <v>0</v>
      </c>
    </row>
    <row r="132" spans="1:17">
      <c r="A132" s="4">
        <f t="shared" si="43"/>
        <v>0</v>
      </c>
      <c r="B132" s="4">
        <f t="shared" ref="B132:N132" ca="1" si="53">B118*B104</f>
        <v>0</v>
      </c>
      <c r="C132" s="4">
        <f t="shared" ca="1" si="53"/>
        <v>0</v>
      </c>
      <c r="D132" s="4">
        <f t="shared" ca="1" si="53"/>
        <v>0</v>
      </c>
      <c r="E132" s="4">
        <f t="shared" ca="1" si="53"/>
        <v>0</v>
      </c>
      <c r="F132" s="4">
        <f t="shared" ca="1" si="53"/>
        <v>0</v>
      </c>
      <c r="G132" s="4">
        <f t="shared" ca="1" si="53"/>
        <v>0</v>
      </c>
      <c r="H132" s="4">
        <f t="shared" ca="1" si="53"/>
        <v>0</v>
      </c>
      <c r="I132" s="4">
        <f t="shared" ca="1" si="53"/>
        <v>0</v>
      </c>
      <c r="J132" s="4">
        <f t="shared" ca="1" si="53"/>
        <v>0</v>
      </c>
      <c r="K132" s="4">
        <f t="shared" ca="1" si="53"/>
        <v>0</v>
      </c>
      <c r="L132" s="4">
        <f t="shared" ca="1" si="53"/>
        <v>0</v>
      </c>
      <c r="M132" s="4">
        <f t="shared" ca="1" si="53"/>
        <v>0</v>
      </c>
      <c r="N132" s="4">
        <f t="shared" ca="1" si="53"/>
        <v>0</v>
      </c>
    </row>
    <row r="133" spans="1:17">
      <c r="A133" s="4">
        <f t="shared" si="43"/>
        <v>0</v>
      </c>
      <c r="B133" s="4">
        <f t="shared" ref="B133:N133" ca="1" si="54">B119*B105</f>
        <v>0</v>
      </c>
      <c r="C133" s="4">
        <f t="shared" ca="1" si="54"/>
        <v>0</v>
      </c>
      <c r="D133" s="4">
        <f t="shared" ca="1" si="54"/>
        <v>0</v>
      </c>
      <c r="E133" s="4">
        <f t="shared" ca="1" si="54"/>
        <v>0</v>
      </c>
      <c r="F133" s="4">
        <f t="shared" ca="1" si="54"/>
        <v>0</v>
      </c>
      <c r="G133" s="4">
        <f t="shared" ca="1" si="54"/>
        <v>0</v>
      </c>
      <c r="H133" s="4">
        <f t="shared" ca="1" si="54"/>
        <v>0</v>
      </c>
      <c r="I133" s="4">
        <f t="shared" ca="1" si="54"/>
        <v>0</v>
      </c>
      <c r="J133" s="4">
        <f t="shared" ca="1" si="54"/>
        <v>0</v>
      </c>
      <c r="K133" s="4">
        <f t="shared" ca="1" si="54"/>
        <v>0</v>
      </c>
      <c r="L133" s="4">
        <f t="shared" ca="1" si="54"/>
        <v>0</v>
      </c>
      <c r="M133" s="4">
        <f t="shared" ca="1" si="54"/>
        <v>0</v>
      </c>
      <c r="N133" s="4">
        <f t="shared" ca="1" si="54"/>
        <v>0</v>
      </c>
    </row>
    <row r="137" spans="1:17">
      <c r="A137" s="4">
        <f>A50</f>
        <v>0</v>
      </c>
      <c r="B137" s="4">
        <f>IF(C2=0,1,C2)</f>
        <v>4</v>
      </c>
      <c r="C137" s="4">
        <f t="shared" ref="C137:L137" si="55">IF(D2=0,1,D2)</f>
        <v>5</v>
      </c>
      <c r="D137" s="4">
        <f t="shared" si="55"/>
        <v>6</v>
      </c>
      <c r="E137" s="4">
        <f t="shared" si="55"/>
        <v>7</v>
      </c>
      <c r="F137" s="4">
        <f t="shared" si="55"/>
        <v>1</v>
      </c>
      <c r="G137" s="4">
        <f t="shared" si="55"/>
        <v>1</v>
      </c>
      <c r="H137" s="4">
        <f t="shared" si="55"/>
        <v>3</v>
      </c>
      <c r="I137" s="4">
        <f t="shared" si="55"/>
        <v>1</v>
      </c>
      <c r="J137" s="4">
        <f t="shared" si="55"/>
        <v>2</v>
      </c>
      <c r="K137" s="4">
        <f t="shared" si="55"/>
        <v>8</v>
      </c>
      <c r="L137" s="4">
        <f t="shared" si="55"/>
        <v>1</v>
      </c>
      <c r="M137" s="4">
        <f>IF(N2=0,1,N2)</f>
        <v>1</v>
      </c>
      <c r="N137" s="4">
        <f>PRODUCT(B137:G137)</f>
        <v>840</v>
      </c>
      <c r="O137" s="4">
        <f>PRODUCT(H137:M137)</f>
        <v>48</v>
      </c>
      <c r="P137" s="4">
        <f>IF(N137=input_all!$BT$7,23,0)</f>
        <v>0</v>
      </c>
      <c r="Q137" s="4">
        <f>IF(O137=input_all!$BT$7,23,0)</f>
        <v>0</v>
      </c>
    </row>
    <row r="138" spans="1:17">
      <c r="A138" s="4">
        <f t="shared" ref="A138:A148" si="56">A51</f>
        <v>1</v>
      </c>
      <c r="B138" s="4">
        <f t="shared" ref="B138:M138" si="57">IF(C3=0,1,C3)</f>
        <v>3</v>
      </c>
      <c r="C138" s="4">
        <f t="shared" si="57"/>
        <v>1</v>
      </c>
      <c r="D138" s="4">
        <f t="shared" si="57"/>
        <v>1</v>
      </c>
      <c r="E138" s="4">
        <f t="shared" si="57"/>
        <v>1</v>
      </c>
      <c r="F138" s="4">
        <f t="shared" si="57"/>
        <v>1</v>
      </c>
      <c r="G138" s="4">
        <f t="shared" si="57"/>
        <v>1</v>
      </c>
      <c r="H138" s="4">
        <f t="shared" si="57"/>
        <v>1</v>
      </c>
      <c r="I138" s="4">
        <f t="shared" si="57"/>
        <v>2</v>
      </c>
      <c r="J138" s="4">
        <f t="shared" si="57"/>
        <v>8</v>
      </c>
      <c r="K138" s="4">
        <f t="shared" si="57"/>
        <v>1</v>
      </c>
      <c r="L138" s="4">
        <f t="shared" si="57"/>
        <v>1</v>
      </c>
      <c r="M138" s="4">
        <f t="shared" si="57"/>
        <v>1</v>
      </c>
      <c r="N138" s="4">
        <f>PRODUCT(B138:G138)</f>
        <v>3</v>
      </c>
      <c r="O138" s="4">
        <f t="shared" ref="O138:O148" si="58">PRODUCT(H138:M138)</f>
        <v>16</v>
      </c>
      <c r="P138" s="4">
        <f>IF(N138=input_all!$BT$7,23,0)</f>
        <v>0</v>
      </c>
      <c r="Q138" s="4">
        <f>IF(O138=input_all!$BT$7,23,0)</f>
        <v>0</v>
      </c>
    </row>
    <row r="139" spans="1:17">
      <c r="A139" s="4">
        <f t="shared" si="56"/>
        <v>1.1000000000000001</v>
      </c>
      <c r="B139" s="4">
        <f t="shared" ref="B139:M139" si="59">IF(C4=0,1,C4)</f>
        <v>8</v>
      </c>
      <c r="C139" s="4">
        <f t="shared" si="59"/>
        <v>1</v>
      </c>
      <c r="D139" s="4">
        <f t="shared" si="59"/>
        <v>1</v>
      </c>
      <c r="E139" s="4">
        <f t="shared" si="59"/>
        <v>1</v>
      </c>
      <c r="F139" s="4">
        <f t="shared" si="59"/>
        <v>1</v>
      </c>
      <c r="G139" s="4">
        <f t="shared" si="59"/>
        <v>1</v>
      </c>
      <c r="H139" s="4">
        <f t="shared" si="59"/>
        <v>2</v>
      </c>
      <c r="I139" s="4">
        <f t="shared" si="59"/>
        <v>1</v>
      </c>
      <c r="J139" s="4">
        <f t="shared" si="59"/>
        <v>1</v>
      </c>
      <c r="K139" s="4">
        <f t="shared" si="59"/>
        <v>1</v>
      </c>
      <c r="L139" s="4">
        <f t="shared" si="59"/>
        <v>1</v>
      </c>
      <c r="M139" s="4">
        <f t="shared" si="59"/>
        <v>1</v>
      </c>
      <c r="N139" s="4">
        <f t="shared" ref="N139:N148" si="60">PRODUCT(B139:G139)</f>
        <v>8</v>
      </c>
      <c r="O139" s="4">
        <f t="shared" si="58"/>
        <v>2</v>
      </c>
      <c r="P139" s="4">
        <f>IF(N139=input_all!$BT$7,23,0)</f>
        <v>0</v>
      </c>
      <c r="Q139" s="4">
        <f>IF(O139=input_all!$BT$7,23,0)</f>
        <v>0</v>
      </c>
    </row>
    <row r="140" spans="1:17">
      <c r="A140" s="4">
        <f t="shared" si="56"/>
        <v>1.1100000000000001</v>
      </c>
      <c r="B140" s="4">
        <f t="shared" ref="B140:M140" si="61">IF(C5=0,1,C5)</f>
        <v>1</v>
      </c>
      <c r="C140" s="4">
        <f t="shared" si="61"/>
        <v>1</v>
      </c>
      <c r="D140" s="4">
        <f t="shared" si="61"/>
        <v>1</v>
      </c>
      <c r="E140" s="4">
        <f t="shared" si="61"/>
        <v>1</v>
      </c>
      <c r="F140" s="4">
        <f t="shared" si="61"/>
        <v>1</v>
      </c>
      <c r="G140" s="4">
        <f t="shared" si="61"/>
        <v>1</v>
      </c>
      <c r="H140" s="4">
        <f t="shared" si="61"/>
        <v>2</v>
      </c>
      <c r="I140" s="4">
        <f t="shared" si="61"/>
        <v>1</v>
      </c>
      <c r="J140" s="4">
        <f t="shared" si="61"/>
        <v>1</v>
      </c>
      <c r="K140" s="4">
        <f t="shared" si="61"/>
        <v>1</v>
      </c>
      <c r="L140" s="4">
        <f t="shared" si="61"/>
        <v>1</v>
      </c>
      <c r="M140" s="4">
        <f t="shared" si="61"/>
        <v>1</v>
      </c>
      <c r="N140" s="4">
        <f t="shared" si="60"/>
        <v>1</v>
      </c>
      <c r="O140" s="4">
        <f t="shared" si="58"/>
        <v>2</v>
      </c>
      <c r="P140" s="4">
        <f>IF(N140=input_all!$BT$7,23,0)</f>
        <v>0</v>
      </c>
      <c r="Q140" s="4">
        <f>IF(O140=input_all!$BT$7,23,0)</f>
        <v>0</v>
      </c>
    </row>
    <row r="141" spans="1:17">
      <c r="A141" s="4">
        <f t="shared" si="56"/>
        <v>-1</v>
      </c>
      <c r="B141" s="4">
        <f t="shared" ref="B141:M141" si="62">IF(C6=0,1,C6)</f>
        <v>4</v>
      </c>
      <c r="C141" s="4">
        <f t="shared" si="62"/>
        <v>1</v>
      </c>
      <c r="D141" s="4">
        <f t="shared" si="62"/>
        <v>1</v>
      </c>
      <c r="E141" s="4">
        <f t="shared" si="62"/>
        <v>1</v>
      </c>
      <c r="F141" s="4">
        <f t="shared" si="62"/>
        <v>1</v>
      </c>
      <c r="G141" s="4">
        <f t="shared" si="62"/>
        <v>1</v>
      </c>
      <c r="H141" s="4">
        <f t="shared" si="62"/>
        <v>6</v>
      </c>
      <c r="I141" s="4">
        <f t="shared" si="62"/>
        <v>7</v>
      </c>
      <c r="J141" s="4">
        <f t="shared" si="62"/>
        <v>5</v>
      </c>
      <c r="K141" s="4">
        <f t="shared" si="62"/>
        <v>1</v>
      </c>
      <c r="L141" s="4">
        <f t="shared" si="62"/>
        <v>1</v>
      </c>
      <c r="M141" s="4">
        <f t="shared" si="62"/>
        <v>1</v>
      </c>
      <c r="N141" s="4">
        <f t="shared" si="60"/>
        <v>4</v>
      </c>
      <c r="O141" s="4">
        <f t="shared" si="58"/>
        <v>210</v>
      </c>
      <c r="P141" s="4">
        <f>IF(N141=input_all!$BT$7,23,0)</f>
        <v>0</v>
      </c>
      <c r="Q141" s="4">
        <f>IF(O141=input_all!$BT$7,23,0)</f>
        <v>23</v>
      </c>
    </row>
    <row r="142" spans="1:17">
      <c r="A142" s="4">
        <f t="shared" si="56"/>
        <v>-0.9</v>
      </c>
      <c r="B142" s="4">
        <f t="shared" ref="B142:M142" si="63">IF(C7=0,1,C7)</f>
        <v>5</v>
      </c>
      <c r="C142" s="4">
        <f t="shared" si="63"/>
        <v>6</v>
      </c>
      <c r="D142" s="4">
        <f t="shared" si="63"/>
        <v>1</v>
      </c>
      <c r="E142" s="4">
        <f t="shared" si="63"/>
        <v>1</v>
      </c>
      <c r="F142" s="4">
        <f t="shared" si="63"/>
        <v>1</v>
      </c>
      <c r="G142" s="4">
        <f t="shared" si="63"/>
        <v>1</v>
      </c>
      <c r="H142" s="4">
        <f t="shared" si="63"/>
        <v>7</v>
      </c>
      <c r="I142" s="4">
        <f t="shared" si="63"/>
        <v>1</v>
      </c>
      <c r="J142" s="4">
        <f t="shared" si="63"/>
        <v>1</v>
      </c>
      <c r="K142" s="4">
        <f t="shared" si="63"/>
        <v>1</v>
      </c>
      <c r="L142" s="4">
        <f t="shared" si="63"/>
        <v>1</v>
      </c>
      <c r="M142" s="4">
        <f t="shared" si="63"/>
        <v>1</v>
      </c>
      <c r="N142" s="4">
        <f t="shared" si="60"/>
        <v>30</v>
      </c>
      <c r="O142" s="4">
        <f t="shared" si="58"/>
        <v>7</v>
      </c>
      <c r="P142" s="4">
        <f>IF(N142=input_all!$BT$7,23,0)</f>
        <v>0</v>
      </c>
      <c r="Q142" s="4">
        <f>IF(O142=input_all!$BT$7,23,0)</f>
        <v>0</v>
      </c>
    </row>
    <row r="143" spans="1:17">
      <c r="A143" s="4">
        <f t="shared" si="56"/>
        <v>-0.91</v>
      </c>
      <c r="B143" s="4">
        <f t="shared" ref="B143:M143" si="64">IF(C8=0,1,C8)</f>
        <v>5</v>
      </c>
      <c r="C143" s="4">
        <f t="shared" si="64"/>
        <v>1</v>
      </c>
      <c r="D143" s="4">
        <f t="shared" si="64"/>
        <v>1</v>
      </c>
      <c r="E143" s="4">
        <f t="shared" si="64"/>
        <v>1</v>
      </c>
      <c r="F143" s="4">
        <f t="shared" si="64"/>
        <v>1</v>
      </c>
      <c r="G143" s="4">
        <f t="shared" si="64"/>
        <v>1</v>
      </c>
      <c r="H143" s="4">
        <f t="shared" si="64"/>
        <v>6</v>
      </c>
      <c r="I143" s="4">
        <f t="shared" si="64"/>
        <v>1</v>
      </c>
      <c r="J143" s="4">
        <f t="shared" si="64"/>
        <v>1</v>
      </c>
      <c r="K143" s="4">
        <f t="shared" si="64"/>
        <v>1</v>
      </c>
      <c r="L143" s="4">
        <f t="shared" si="64"/>
        <v>1</v>
      </c>
      <c r="M143" s="4">
        <f t="shared" si="64"/>
        <v>1</v>
      </c>
      <c r="N143" s="4">
        <f t="shared" si="60"/>
        <v>5</v>
      </c>
      <c r="O143" s="4">
        <f t="shared" si="58"/>
        <v>6</v>
      </c>
      <c r="P143" s="4">
        <f>IF(N143=input_all!$BT$7,23,0)</f>
        <v>0</v>
      </c>
      <c r="Q143" s="4">
        <f>IF(O143=input_all!$BT$7,23,0)</f>
        <v>0</v>
      </c>
    </row>
    <row r="144" spans="1:17">
      <c r="A144" s="4">
        <f t="shared" si="56"/>
        <v>0</v>
      </c>
      <c r="B144" s="4">
        <f t="shared" ref="B144:M144" si="65">IF(C9=0,1,C9)</f>
        <v>1</v>
      </c>
      <c r="C144" s="4">
        <f t="shared" si="65"/>
        <v>1</v>
      </c>
      <c r="D144" s="4">
        <f t="shared" si="65"/>
        <v>1</v>
      </c>
      <c r="E144" s="4">
        <f t="shared" si="65"/>
        <v>1</v>
      </c>
      <c r="F144" s="4">
        <f t="shared" si="65"/>
        <v>1</v>
      </c>
      <c r="G144" s="4">
        <f t="shared" si="65"/>
        <v>1</v>
      </c>
      <c r="H144" s="4">
        <f t="shared" si="65"/>
        <v>1</v>
      </c>
      <c r="I144" s="4">
        <f t="shared" si="65"/>
        <v>1</v>
      </c>
      <c r="J144" s="4">
        <f t="shared" si="65"/>
        <v>1</v>
      </c>
      <c r="K144" s="4">
        <f t="shared" si="65"/>
        <v>1</v>
      </c>
      <c r="L144" s="4">
        <f t="shared" si="65"/>
        <v>1</v>
      </c>
      <c r="M144" s="4">
        <f t="shared" si="65"/>
        <v>1</v>
      </c>
      <c r="N144" s="4">
        <f t="shared" si="60"/>
        <v>1</v>
      </c>
      <c r="O144" s="4">
        <f t="shared" si="58"/>
        <v>1</v>
      </c>
      <c r="P144" s="4">
        <f>IF(N144=input_all!$BT$7,23,0)</f>
        <v>0</v>
      </c>
      <c r="Q144" s="4">
        <f>IF(O144=input_all!$BT$7,23,0)</f>
        <v>0</v>
      </c>
    </row>
    <row r="145" spans="1:17">
      <c r="A145" s="4">
        <f t="shared" si="56"/>
        <v>0</v>
      </c>
      <c r="B145" s="4">
        <f t="shared" ref="B145:M145" si="66">IF(C10=0,1,C10)</f>
        <v>1</v>
      </c>
      <c r="C145" s="4">
        <f t="shared" si="66"/>
        <v>1</v>
      </c>
      <c r="D145" s="4">
        <f t="shared" si="66"/>
        <v>1</v>
      </c>
      <c r="E145" s="4">
        <f t="shared" si="66"/>
        <v>1</v>
      </c>
      <c r="F145" s="4">
        <f t="shared" si="66"/>
        <v>1</v>
      </c>
      <c r="G145" s="4">
        <f t="shared" si="66"/>
        <v>1</v>
      </c>
      <c r="H145" s="4">
        <f t="shared" si="66"/>
        <v>1</v>
      </c>
      <c r="I145" s="4">
        <f t="shared" si="66"/>
        <v>1</v>
      </c>
      <c r="J145" s="4">
        <f t="shared" si="66"/>
        <v>1</v>
      </c>
      <c r="K145" s="4">
        <f t="shared" si="66"/>
        <v>1</v>
      </c>
      <c r="L145" s="4">
        <f t="shared" si="66"/>
        <v>1</v>
      </c>
      <c r="M145" s="4">
        <f t="shared" si="66"/>
        <v>1</v>
      </c>
      <c r="N145" s="4">
        <f t="shared" si="60"/>
        <v>1</v>
      </c>
      <c r="O145" s="4">
        <f t="shared" si="58"/>
        <v>1</v>
      </c>
      <c r="P145" s="4">
        <f>IF(N145=input_all!$BT$7,23,0)</f>
        <v>0</v>
      </c>
      <c r="Q145" s="4">
        <f>IF(O145=input_all!$BT$7,23,0)</f>
        <v>0</v>
      </c>
    </row>
    <row r="146" spans="1:17">
      <c r="A146" s="4">
        <f t="shared" si="56"/>
        <v>0</v>
      </c>
      <c r="B146" s="4">
        <f t="shared" ref="B146:M146" si="67">IF(C11=0,1,C11)</f>
        <v>1</v>
      </c>
      <c r="C146" s="4">
        <f t="shared" si="67"/>
        <v>1</v>
      </c>
      <c r="D146" s="4">
        <f t="shared" si="67"/>
        <v>1</v>
      </c>
      <c r="E146" s="4">
        <f t="shared" si="67"/>
        <v>1</v>
      </c>
      <c r="F146" s="4">
        <f t="shared" si="67"/>
        <v>1</v>
      </c>
      <c r="G146" s="4">
        <f t="shared" si="67"/>
        <v>1</v>
      </c>
      <c r="H146" s="4">
        <f t="shared" si="67"/>
        <v>1</v>
      </c>
      <c r="I146" s="4">
        <f t="shared" si="67"/>
        <v>1</v>
      </c>
      <c r="J146" s="4">
        <f t="shared" si="67"/>
        <v>1</v>
      </c>
      <c r="K146" s="4">
        <f t="shared" si="67"/>
        <v>1</v>
      </c>
      <c r="L146" s="4">
        <f t="shared" si="67"/>
        <v>1</v>
      </c>
      <c r="M146" s="4">
        <f t="shared" si="67"/>
        <v>1</v>
      </c>
      <c r="N146" s="4">
        <f t="shared" si="60"/>
        <v>1</v>
      </c>
      <c r="O146" s="4">
        <f t="shared" si="58"/>
        <v>1</v>
      </c>
      <c r="P146" s="4">
        <f>IF(N146=input_all!$BT$7,23,0)</f>
        <v>0</v>
      </c>
      <c r="Q146" s="4">
        <f>IF(O146=input_all!$BT$7,23,0)</f>
        <v>0</v>
      </c>
    </row>
    <row r="147" spans="1:17">
      <c r="A147" s="4">
        <f t="shared" si="56"/>
        <v>0</v>
      </c>
      <c r="B147" s="4">
        <f t="shared" ref="B147:M147" si="68">IF(C12=0,1,C12)</f>
        <v>1</v>
      </c>
      <c r="C147" s="4">
        <f t="shared" si="68"/>
        <v>1</v>
      </c>
      <c r="D147" s="4">
        <f t="shared" si="68"/>
        <v>1</v>
      </c>
      <c r="E147" s="4">
        <f t="shared" si="68"/>
        <v>1</v>
      </c>
      <c r="F147" s="4">
        <f t="shared" si="68"/>
        <v>1</v>
      </c>
      <c r="G147" s="4">
        <f t="shared" si="68"/>
        <v>1</v>
      </c>
      <c r="H147" s="4">
        <f t="shared" si="68"/>
        <v>1</v>
      </c>
      <c r="I147" s="4">
        <f t="shared" si="68"/>
        <v>1</v>
      </c>
      <c r="J147" s="4">
        <f t="shared" si="68"/>
        <v>1</v>
      </c>
      <c r="K147" s="4">
        <f t="shared" si="68"/>
        <v>1</v>
      </c>
      <c r="L147" s="4">
        <f t="shared" si="68"/>
        <v>1</v>
      </c>
      <c r="M147" s="4">
        <f t="shared" si="68"/>
        <v>1</v>
      </c>
      <c r="N147" s="4">
        <f t="shared" si="60"/>
        <v>1</v>
      </c>
      <c r="O147" s="4">
        <f t="shared" si="58"/>
        <v>1</v>
      </c>
      <c r="P147" s="4">
        <f>IF(N147=input_all!$BT$7,23,0)</f>
        <v>0</v>
      </c>
      <c r="Q147" s="4">
        <f>IF(O147=input_all!$BT$7,23,0)</f>
        <v>0</v>
      </c>
    </row>
    <row r="148" spans="1:17">
      <c r="A148" s="4">
        <f t="shared" si="56"/>
        <v>0</v>
      </c>
      <c r="B148" s="4">
        <f t="shared" ref="B148:M148" si="69">IF(C13=0,1,C13)</f>
        <v>1</v>
      </c>
      <c r="C148" s="4">
        <f t="shared" si="69"/>
        <v>1</v>
      </c>
      <c r="D148" s="4">
        <f t="shared" si="69"/>
        <v>1</v>
      </c>
      <c r="E148" s="4">
        <f t="shared" si="69"/>
        <v>1</v>
      </c>
      <c r="F148" s="4">
        <f t="shared" si="69"/>
        <v>1</v>
      </c>
      <c r="G148" s="4">
        <f t="shared" si="69"/>
        <v>1</v>
      </c>
      <c r="H148" s="4">
        <f t="shared" si="69"/>
        <v>1</v>
      </c>
      <c r="I148" s="4">
        <f t="shared" si="69"/>
        <v>1</v>
      </c>
      <c r="J148" s="4">
        <f t="shared" si="69"/>
        <v>1</v>
      </c>
      <c r="K148" s="4">
        <f t="shared" si="69"/>
        <v>1</v>
      </c>
      <c r="L148" s="4">
        <f t="shared" si="69"/>
        <v>1</v>
      </c>
      <c r="M148" s="4">
        <f t="shared" si="69"/>
        <v>1</v>
      </c>
      <c r="N148" s="4">
        <f t="shared" si="60"/>
        <v>1</v>
      </c>
      <c r="O148" s="4">
        <f t="shared" si="58"/>
        <v>1</v>
      </c>
      <c r="P148" s="4">
        <f>IF(N148=input_all!$BT$7,23,0)</f>
        <v>0</v>
      </c>
      <c r="Q148" s="4">
        <f>IF(O148=input_all!$BT$7,23,0)</f>
        <v>0</v>
      </c>
    </row>
    <row r="151" spans="1:17">
      <c r="B151" s="4" t="s">
        <v>87</v>
      </c>
      <c r="C151" s="4" t="s">
        <v>88</v>
      </c>
      <c r="D151" s="4" t="s">
        <v>87</v>
      </c>
      <c r="E151" s="4" t="s">
        <v>88</v>
      </c>
      <c r="F151" s="4" t="s">
        <v>87</v>
      </c>
      <c r="G151" s="4" t="s">
        <v>88</v>
      </c>
      <c r="H151" s="4" t="s">
        <v>91</v>
      </c>
    </row>
    <row r="152" spans="1:17">
      <c r="A152" s="14">
        <v>0</v>
      </c>
      <c r="B152" s="4">
        <v>-1</v>
      </c>
      <c r="C152" s="4">
        <v>1</v>
      </c>
      <c r="D152" s="4">
        <f t="shared" ref="D152:D166" si="70">IFERROR(VLOOKUP(A152,$A$137:$Q$148,16,0),0)</f>
        <v>0</v>
      </c>
      <c r="E152" s="4">
        <f t="shared" ref="E152:E166" si="71">IFERROR(VLOOKUP(A152,$A$137:$Q$148,17,0),0)</f>
        <v>0</v>
      </c>
      <c r="F152" s="4">
        <f>IF(D152=23,B152,0)</f>
        <v>0</v>
      </c>
      <c r="G152" s="4">
        <f>IF(E152=23,C152,0)</f>
        <v>0</v>
      </c>
      <c r="H152" s="4">
        <f>SUM(F152:G152)</f>
        <v>0</v>
      </c>
    </row>
    <row r="153" spans="1:17">
      <c r="A153" s="14">
        <v>0.89</v>
      </c>
      <c r="D153" s="4">
        <f t="shared" si="70"/>
        <v>0</v>
      </c>
      <c r="E153" s="4">
        <f t="shared" si="71"/>
        <v>0</v>
      </c>
      <c r="F153" s="4">
        <f t="shared" ref="F153:F166" si="72">IF(D153=23,B153,0)</f>
        <v>0</v>
      </c>
      <c r="G153" s="4">
        <f t="shared" ref="G153:G166" si="73">IF(E153=23,C153,0)</f>
        <v>0</v>
      </c>
      <c r="H153" s="4">
        <f t="shared" ref="H153:H166" si="74">SUM(F153:G153)</f>
        <v>0</v>
      </c>
    </row>
    <row r="154" spans="1:17">
      <c r="A154" s="14">
        <v>0.9</v>
      </c>
      <c r="B154" s="4">
        <v>0.89</v>
      </c>
      <c r="C154" s="4">
        <v>0.91</v>
      </c>
      <c r="D154" s="4">
        <f t="shared" si="70"/>
        <v>0</v>
      </c>
      <c r="E154" s="4">
        <f t="shared" si="71"/>
        <v>0</v>
      </c>
      <c r="F154" s="4">
        <f t="shared" si="72"/>
        <v>0</v>
      </c>
      <c r="G154" s="4">
        <f t="shared" si="73"/>
        <v>0</v>
      </c>
      <c r="H154" s="4">
        <f t="shared" si="74"/>
        <v>0</v>
      </c>
    </row>
    <row r="155" spans="1:17">
      <c r="A155" s="14">
        <v>0.91</v>
      </c>
      <c r="D155" s="4">
        <f t="shared" si="70"/>
        <v>0</v>
      </c>
      <c r="E155" s="4">
        <f t="shared" si="71"/>
        <v>0</v>
      </c>
      <c r="F155" s="4">
        <f t="shared" si="72"/>
        <v>0</v>
      </c>
      <c r="G155" s="4">
        <f t="shared" si="73"/>
        <v>0</v>
      </c>
      <c r="H155" s="4">
        <f t="shared" si="74"/>
        <v>0</v>
      </c>
    </row>
    <row r="156" spans="1:17">
      <c r="A156" s="14">
        <v>1</v>
      </c>
      <c r="B156" s="4">
        <v>0.9</v>
      </c>
      <c r="C156" s="4">
        <v>1.1000000000000001</v>
      </c>
      <c r="D156" s="4">
        <f t="shared" si="70"/>
        <v>0</v>
      </c>
      <c r="E156" s="4">
        <f t="shared" si="71"/>
        <v>0</v>
      </c>
      <c r="F156" s="4">
        <f t="shared" si="72"/>
        <v>0</v>
      </c>
      <c r="G156" s="4">
        <f t="shared" si="73"/>
        <v>0</v>
      </c>
      <c r="H156" s="4">
        <f t="shared" si="74"/>
        <v>0</v>
      </c>
    </row>
    <row r="157" spans="1:17">
      <c r="A157" s="14">
        <v>1.0900000000000001</v>
      </c>
      <c r="D157" s="4">
        <f t="shared" si="70"/>
        <v>0</v>
      </c>
      <c r="E157" s="4">
        <f t="shared" si="71"/>
        <v>0</v>
      </c>
      <c r="F157" s="4">
        <f t="shared" si="72"/>
        <v>0</v>
      </c>
      <c r="G157" s="4">
        <f t="shared" si="73"/>
        <v>0</v>
      </c>
      <c r="H157" s="4">
        <f t="shared" si="74"/>
        <v>0</v>
      </c>
    </row>
    <row r="158" spans="1:17">
      <c r="A158" s="14">
        <v>1.1000000000000001</v>
      </c>
      <c r="B158" s="4">
        <v>1.0900000000000001</v>
      </c>
      <c r="C158" s="4">
        <v>1.1100000000000001</v>
      </c>
      <c r="D158" s="4">
        <f t="shared" si="70"/>
        <v>0</v>
      </c>
      <c r="E158" s="4">
        <f t="shared" si="71"/>
        <v>0</v>
      </c>
      <c r="F158" s="4">
        <f t="shared" si="72"/>
        <v>0</v>
      </c>
      <c r="G158" s="4">
        <f t="shared" si="73"/>
        <v>0</v>
      </c>
      <c r="H158" s="4">
        <f t="shared" si="74"/>
        <v>0</v>
      </c>
    </row>
    <row r="159" spans="1:17">
      <c r="A159" s="14">
        <v>1.1100000000000001</v>
      </c>
      <c r="D159" s="4">
        <f t="shared" si="70"/>
        <v>0</v>
      </c>
      <c r="E159" s="4">
        <f t="shared" si="71"/>
        <v>0</v>
      </c>
      <c r="F159" s="4">
        <f t="shared" si="72"/>
        <v>0</v>
      </c>
      <c r="G159" s="4">
        <f t="shared" si="73"/>
        <v>0</v>
      </c>
      <c r="H159" s="4">
        <f t="shared" si="74"/>
        <v>0</v>
      </c>
    </row>
    <row r="160" spans="1:17">
      <c r="A160" s="14">
        <f>-1*A156</f>
        <v>-1</v>
      </c>
      <c r="B160" s="4">
        <v>-1.1000000000000001</v>
      </c>
      <c r="C160" s="4">
        <v>-0.9</v>
      </c>
      <c r="D160" s="4">
        <f t="shared" si="70"/>
        <v>0</v>
      </c>
      <c r="E160" s="4">
        <f t="shared" si="71"/>
        <v>23</v>
      </c>
      <c r="F160" s="4">
        <f t="shared" si="72"/>
        <v>0</v>
      </c>
      <c r="G160" s="4">
        <f t="shared" si="73"/>
        <v>-0.9</v>
      </c>
      <c r="H160" s="4">
        <f t="shared" si="74"/>
        <v>-0.9</v>
      </c>
    </row>
    <row r="161" spans="1:14">
      <c r="A161" s="14">
        <f>-1*A153</f>
        <v>-0.89</v>
      </c>
      <c r="D161" s="4">
        <f t="shared" si="70"/>
        <v>0</v>
      </c>
      <c r="E161" s="4">
        <f t="shared" si="71"/>
        <v>0</v>
      </c>
      <c r="F161" s="4">
        <f t="shared" si="72"/>
        <v>0</v>
      </c>
      <c r="G161" s="4">
        <f t="shared" si="73"/>
        <v>0</v>
      </c>
      <c r="H161" s="4">
        <f t="shared" si="74"/>
        <v>0</v>
      </c>
    </row>
    <row r="162" spans="1:14">
      <c r="A162" s="14">
        <f>-1*A154</f>
        <v>-0.9</v>
      </c>
      <c r="B162" s="4">
        <v>-0.91</v>
      </c>
      <c r="C162" s="4">
        <v>-0.89</v>
      </c>
      <c r="D162" s="4">
        <f t="shared" si="70"/>
        <v>0</v>
      </c>
      <c r="E162" s="4">
        <f t="shared" si="71"/>
        <v>0</v>
      </c>
      <c r="F162" s="4">
        <f t="shared" si="72"/>
        <v>0</v>
      </c>
      <c r="G162" s="4">
        <f t="shared" si="73"/>
        <v>0</v>
      </c>
      <c r="H162" s="4">
        <f>SUM(F162:G162)</f>
        <v>0</v>
      </c>
    </row>
    <row r="163" spans="1:14">
      <c r="A163" s="14">
        <f>-1*A155</f>
        <v>-0.91</v>
      </c>
      <c r="D163" s="4">
        <f t="shared" si="70"/>
        <v>0</v>
      </c>
      <c r="E163" s="4">
        <f t="shared" si="71"/>
        <v>0</v>
      </c>
      <c r="F163" s="4">
        <f t="shared" si="72"/>
        <v>0</v>
      </c>
      <c r="G163" s="4">
        <f t="shared" si="73"/>
        <v>0</v>
      </c>
      <c r="H163" s="4">
        <f t="shared" si="74"/>
        <v>0</v>
      </c>
    </row>
    <row r="164" spans="1:14">
      <c r="A164" s="14">
        <f>-1*A157</f>
        <v>-1.0900000000000001</v>
      </c>
      <c r="D164" s="4">
        <f t="shared" si="70"/>
        <v>0</v>
      </c>
      <c r="E164" s="4">
        <f t="shared" si="71"/>
        <v>0</v>
      </c>
      <c r="F164" s="4">
        <f t="shared" si="72"/>
        <v>0</v>
      </c>
      <c r="G164" s="4">
        <f t="shared" si="73"/>
        <v>0</v>
      </c>
      <c r="H164" s="4">
        <f t="shared" si="74"/>
        <v>0</v>
      </c>
    </row>
    <row r="165" spans="1:14">
      <c r="A165" s="14">
        <f>-1*A158</f>
        <v>-1.1000000000000001</v>
      </c>
      <c r="B165" s="4">
        <v>-1.1100000000000001</v>
      </c>
      <c r="C165" s="4">
        <v>-1.0900000000000001</v>
      </c>
      <c r="D165" s="4">
        <f t="shared" si="70"/>
        <v>0</v>
      </c>
      <c r="E165" s="4">
        <f t="shared" si="71"/>
        <v>0</v>
      </c>
      <c r="F165" s="4">
        <f t="shared" si="72"/>
        <v>0</v>
      </c>
      <c r="G165" s="4">
        <f t="shared" si="73"/>
        <v>0</v>
      </c>
      <c r="H165" s="4">
        <f t="shared" si="74"/>
        <v>0</v>
      </c>
    </row>
    <row r="166" spans="1:14">
      <c r="A166" s="14">
        <f>-1*A159</f>
        <v>-1.1100000000000001</v>
      </c>
      <c r="D166" s="4">
        <f t="shared" si="70"/>
        <v>0</v>
      </c>
      <c r="E166" s="4">
        <f t="shared" si="71"/>
        <v>0</v>
      </c>
      <c r="F166" s="4">
        <f t="shared" si="72"/>
        <v>0</v>
      </c>
      <c r="G166" s="4">
        <f t="shared" si="73"/>
        <v>0</v>
      </c>
      <c r="H166" s="4">
        <f t="shared" si="74"/>
        <v>0</v>
      </c>
    </row>
    <row r="167" spans="1:14">
      <c r="H167" s="4">
        <f>SUM(H152:H166)</f>
        <v>-0.9</v>
      </c>
      <c r="I167" s="4" t="str">
        <f ca="1">CELL("address",INDEX(A50:O56,MATCH(H167,A50:A56,0),1))</f>
        <v>$A$55</v>
      </c>
    </row>
    <row r="170" spans="1:14">
      <c r="A170" s="4">
        <v>23</v>
      </c>
      <c r="B170" s="4" t="s">
        <v>98</v>
      </c>
      <c r="C170" s="4">
        <f>SUM(C171:H171)</f>
        <v>1</v>
      </c>
      <c r="D170" s="4">
        <f>SUM(I171:N171)</f>
        <v>2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  <c r="L170" s="4">
        <v>0</v>
      </c>
      <c r="M170" s="4">
        <v>0</v>
      </c>
      <c r="N170" s="4">
        <v>0</v>
      </c>
    </row>
    <row r="171" spans="1:14">
      <c r="A171" s="18">
        <v>0</v>
      </c>
      <c r="B171" s="18">
        <v>16</v>
      </c>
      <c r="C171" s="18">
        <v>1</v>
      </c>
      <c r="D171" s="18">
        <v>0</v>
      </c>
      <c r="E171" s="18">
        <v>0</v>
      </c>
      <c r="F171" s="18">
        <v>0</v>
      </c>
      <c r="G171" s="18">
        <v>0</v>
      </c>
      <c r="H171" s="18">
        <v>0</v>
      </c>
      <c r="I171" s="18">
        <v>2</v>
      </c>
      <c r="J171" s="18">
        <v>0</v>
      </c>
      <c r="K171" s="18">
        <v>0</v>
      </c>
      <c r="L171" s="18">
        <v>0</v>
      </c>
      <c r="M171" s="18">
        <v>0</v>
      </c>
      <c r="N171" s="18">
        <v>0</v>
      </c>
    </row>
    <row r="172" spans="1:14">
      <c r="A172" s="18">
        <v>0</v>
      </c>
      <c r="B172" s="18">
        <v>0</v>
      </c>
      <c r="C172" s="18">
        <v>0</v>
      </c>
      <c r="D172" s="18">
        <v>0</v>
      </c>
      <c r="E172" s="18">
        <v>0</v>
      </c>
      <c r="F172" s="18">
        <v>0</v>
      </c>
      <c r="G172" s="18">
        <v>0</v>
      </c>
      <c r="H172" s="18">
        <v>0</v>
      </c>
      <c r="I172" s="18">
        <v>0</v>
      </c>
      <c r="J172" s="18">
        <v>0</v>
      </c>
      <c r="K172" s="18">
        <v>0</v>
      </c>
      <c r="L172" s="18">
        <v>0</v>
      </c>
      <c r="M172" s="18">
        <v>0</v>
      </c>
      <c r="N172" s="18">
        <v>0</v>
      </c>
    </row>
    <row r="173" spans="1:14">
      <c r="A173" s="18">
        <v>0</v>
      </c>
      <c r="B173" s="18">
        <v>0</v>
      </c>
      <c r="C173" s="18">
        <v>0</v>
      </c>
      <c r="D173" s="18">
        <v>0</v>
      </c>
      <c r="E173" s="18">
        <v>0</v>
      </c>
      <c r="F173" s="18">
        <v>0</v>
      </c>
      <c r="G173" s="18">
        <v>0</v>
      </c>
      <c r="H173" s="18">
        <v>0</v>
      </c>
      <c r="I173" s="18">
        <v>0</v>
      </c>
      <c r="J173" s="18">
        <v>0</v>
      </c>
      <c r="K173" s="18">
        <v>0</v>
      </c>
      <c r="L173" s="18">
        <v>0</v>
      </c>
      <c r="M173" s="18">
        <v>0</v>
      </c>
      <c r="N173" s="18">
        <v>0</v>
      </c>
    </row>
    <row r="174" spans="1:14">
      <c r="A174" s="18">
        <v>0</v>
      </c>
      <c r="B174" s="18">
        <v>0</v>
      </c>
      <c r="C174" s="18">
        <v>0</v>
      </c>
      <c r="D174" s="18">
        <v>0</v>
      </c>
      <c r="E174" s="18">
        <v>0</v>
      </c>
      <c r="F174" s="18">
        <v>0</v>
      </c>
      <c r="G174" s="18">
        <v>0</v>
      </c>
      <c r="H174" s="18">
        <v>0</v>
      </c>
      <c r="I174" s="18">
        <v>0</v>
      </c>
      <c r="J174" s="18">
        <v>0</v>
      </c>
      <c r="K174" s="18">
        <v>0</v>
      </c>
      <c r="L174" s="18">
        <v>0</v>
      </c>
      <c r="M174" s="18">
        <v>0</v>
      </c>
      <c r="N174" s="18">
        <v>0</v>
      </c>
    </row>
    <row r="175" spans="1:14">
      <c r="A175" s="18">
        <v>0</v>
      </c>
      <c r="B175" s="18">
        <v>0</v>
      </c>
      <c r="C175" s="18">
        <v>0</v>
      </c>
      <c r="D175" s="18">
        <v>0</v>
      </c>
      <c r="E175" s="18">
        <v>0</v>
      </c>
      <c r="F175" s="18">
        <v>0</v>
      </c>
      <c r="G175" s="18">
        <v>0</v>
      </c>
      <c r="H175" s="18">
        <v>0</v>
      </c>
      <c r="I175" s="18">
        <v>0</v>
      </c>
      <c r="J175" s="18">
        <v>0</v>
      </c>
      <c r="K175" s="18">
        <v>0</v>
      </c>
      <c r="L175" s="18">
        <v>0</v>
      </c>
      <c r="M175" s="18">
        <v>0</v>
      </c>
      <c r="N175" s="18">
        <v>0</v>
      </c>
    </row>
    <row r="176" spans="1:14">
      <c r="A176" s="18">
        <v>0</v>
      </c>
      <c r="B176" s="18">
        <v>0</v>
      </c>
      <c r="C176" s="18">
        <v>0</v>
      </c>
      <c r="D176" s="18">
        <v>0</v>
      </c>
      <c r="E176" s="18">
        <v>0</v>
      </c>
      <c r="F176" s="18">
        <v>0</v>
      </c>
      <c r="G176" s="18">
        <v>0</v>
      </c>
      <c r="H176" s="18">
        <v>0</v>
      </c>
      <c r="I176" s="18">
        <v>0</v>
      </c>
      <c r="J176" s="18">
        <v>0</v>
      </c>
      <c r="K176" s="18">
        <v>0</v>
      </c>
      <c r="L176" s="18">
        <v>0</v>
      </c>
      <c r="M176" s="18">
        <v>0</v>
      </c>
      <c r="N176" s="18">
        <v>0</v>
      </c>
    </row>
    <row r="177" spans="1:14">
      <c r="A177" s="18">
        <v>0</v>
      </c>
      <c r="B177" s="18">
        <v>0</v>
      </c>
      <c r="C177" s="18">
        <v>0</v>
      </c>
      <c r="D177" s="18">
        <v>0</v>
      </c>
      <c r="E177" s="18">
        <v>0</v>
      </c>
      <c r="F177" s="18">
        <v>0</v>
      </c>
      <c r="G177" s="18">
        <v>0</v>
      </c>
      <c r="H177" s="18">
        <v>0</v>
      </c>
      <c r="I177" s="18">
        <v>0</v>
      </c>
      <c r="J177" s="18">
        <v>0</v>
      </c>
      <c r="K177" s="18">
        <v>0</v>
      </c>
      <c r="L177" s="18">
        <v>0</v>
      </c>
      <c r="M177" s="18">
        <v>0</v>
      </c>
      <c r="N177" s="18">
        <v>0</v>
      </c>
    </row>
    <row r="178" spans="1:14">
      <c r="A178" s="18">
        <v>0</v>
      </c>
      <c r="B178" s="18">
        <v>0</v>
      </c>
      <c r="C178" s="18">
        <v>0</v>
      </c>
      <c r="D178" s="18">
        <v>0</v>
      </c>
      <c r="E178" s="18">
        <v>0</v>
      </c>
      <c r="F178" s="18">
        <v>0</v>
      </c>
      <c r="G178" s="18">
        <v>0</v>
      </c>
      <c r="H178" s="18">
        <v>0</v>
      </c>
      <c r="I178" s="18">
        <v>0</v>
      </c>
      <c r="J178" s="18">
        <v>0</v>
      </c>
      <c r="K178" s="18">
        <v>0</v>
      </c>
      <c r="L178" s="18">
        <v>0</v>
      </c>
      <c r="M178" s="18">
        <v>0</v>
      </c>
      <c r="N178" s="18">
        <v>0</v>
      </c>
    </row>
    <row r="179" spans="1:14">
      <c r="A179" s="4">
        <v>0</v>
      </c>
      <c r="B179" s="4">
        <v>0</v>
      </c>
      <c r="C179" s="4">
        <v>0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</row>
    <row r="180" spans="1:14">
      <c r="A180" s="4">
        <v>0</v>
      </c>
      <c r="B180" s="4">
        <v>0</v>
      </c>
      <c r="C180" s="4">
        <v>0</v>
      </c>
      <c r="D180" s="4">
        <v>0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</row>
    <row r="181" spans="1:14">
      <c r="A181" s="4">
        <v>0</v>
      </c>
      <c r="B181" s="4">
        <v>0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</row>
    <row r="182" spans="1:14">
      <c r="A182" s="4">
        <v>0</v>
      </c>
      <c r="B182" s="4">
        <v>0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</row>
    <row r="183" spans="1:14">
      <c r="A183" s="4">
        <v>0</v>
      </c>
      <c r="B183" s="4">
        <v>0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  <c r="L183" s="4">
        <v>0</v>
      </c>
      <c r="M183" s="4">
        <v>0</v>
      </c>
      <c r="N183" s="4">
        <v>0</v>
      </c>
    </row>
    <row r="184" spans="1:14">
      <c r="A184" s="4">
        <v>0</v>
      </c>
      <c r="B184" s="4">
        <v>0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</row>
    <row r="185" spans="1:14">
      <c r="A185" s="4">
        <v>0</v>
      </c>
      <c r="B185" s="4">
        <v>0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4">
        <v>0</v>
      </c>
    </row>
    <row r="186" spans="1:14">
      <c r="A186" s="4">
        <v>0</v>
      </c>
      <c r="B186" s="4">
        <v>0</v>
      </c>
      <c r="C186" s="4">
        <v>0</v>
      </c>
      <c r="D186" s="4">
        <v>0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</row>
    <row r="187" spans="1:14">
      <c r="A187" s="4">
        <v>0</v>
      </c>
      <c r="B187" s="4">
        <v>0</v>
      </c>
      <c r="C187" s="4">
        <v>0</v>
      </c>
      <c r="D187" s="4">
        <v>0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  <c r="J187" s="4">
        <v>0</v>
      </c>
      <c r="K187" s="4">
        <v>0</v>
      </c>
      <c r="L187" s="4">
        <v>0</v>
      </c>
      <c r="M187" s="4">
        <v>0</v>
      </c>
      <c r="N187" s="4">
        <v>0</v>
      </c>
    </row>
    <row r="188" spans="1:14">
      <c r="A188" s="4">
        <v>0</v>
      </c>
      <c r="B188" s="4">
        <v>0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  <c r="L188" s="4">
        <v>0</v>
      </c>
      <c r="M188" s="4">
        <v>0</v>
      </c>
      <c r="N188" s="4">
        <v>0</v>
      </c>
    </row>
    <row r="189" spans="1:14">
      <c r="A189" s="4">
        <v>0</v>
      </c>
      <c r="B189" s="4">
        <v>0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</row>
    <row r="190" spans="1:14">
      <c r="A190" s="4">
        <v>0</v>
      </c>
      <c r="B190" s="4">
        <v>0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</row>
    <row r="192" spans="1:14">
      <c r="A192" s="4">
        <f>IF(B171&lt;&gt;0,H167,33)</f>
        <v>-0.9</v>
      </c>
      <c r="B192" s="4" t="str">
        <f>IFERROR(IF(B170=1,1.1,IF(B170=2,2.1,B170)),0)</f>
        <v>Reaction</v>
      </c>
      <c r="C192" s="4" t="str">
        <f>IFERROR(VLOOKUP(IF(C170=1,1.1,IF(C170=2,2.1,C170)),$A$197:$B$198,2),0)</f>
        <v>Water</v>
      </c>
      <c r="D192" s="4" t="str">
        <f t="shared" ref="D192:N193" si="75">IFERROR(VLOOKUP(IF(D170=1,1.1,IF(D170=2,2.1,D170)),$A$197:$B$198,2),0)</f>
        <v>Ethanol</v>
      </c>
      <c r="E192" s="4">
        <f t="shared" si="75"/>
        <v>0</v>
      </c>
      <c r="F192" s="4">
        <f t="shared" si="75"/>
        <v>0</v>
      </c>
      <c r="G192" s="4">
        <f t="shared" si="75"/>
        <v>0</v>
      </c>
      <c r="H192" s="4">
        <f t="shared" si="75"/>
        <v>0</v>
      </c>
      <c r="I192" s="4">
        <f t="shared" si="75"/>
        <v>0</v>
      </c>
      <c r="J192" s="4">
        <f t="shared" si="75"/>
        <v>0</v>
      </c>
      <c r="K192" s="4">
        <f t="shared" si="75"/>
        <v>0</v>
      </c>
      <c r="L192" s="4">
        <f t="shared" si="75"/>
        <v>0</v>
      </c>
      <c r="M192" s="4">
        <f t="shared" si="75"/>
        <v>0</v>
      </c>
      <c r="N192" s="4">
        <f t="shared" si="75"/>
        <v>0</v>
      </c>
    </row>
    <row r="193" spans="1:14">
      <c r="A193" s="4">
        <f>IF(B171=0,34,IF(A192&lt;&gt;0&amp;A192&lt;&gt;1&amp;A192&lt;&gt;-1,A192-0.01,A192-0.1))</f>
        <v>-0.91</v>
      </c>
      <c r="B193" s="4" t="str">
        <f>IFERROR(VLOOKUP(IF(B171=1,1.1,IF(B171=2,2.1,B171)),D74:E89,2),0)</f>
        <v>Vapor pressure</v>
      </c>
      <c r="C193" s="4" t="str">
        <f>IFERROR(VLOOKUP(IF(C171=1,1.1,IF(C171=2,2.1,C171)),$A$197:$B$198,2),0)</f>
        <v>Water</v>
      </c>
      <c r="D193" s="4">
        <f t="shared" si="75"/>
        <v>0</v>
      </c>
      <c r="E193" s="4">
        <f t="shared" si="75"/>
        <v>0</v>
      </c>
      <c r="F193" s="4">
        <f t="shared" si="75"/>
        <v>0</v>
      </c>
      <c r="G193" s="4">
        <f t="shared" si="75"/>
        <v>0</v>
      </c>
      <c r="H193" s="4">
        <f t="shared" si="75"/>
        <v>0</v>
      </c>
      <c r="I193" s="4" t="str">
        <f t="shared" si="75"/>
        <v>Ethanol</v>
      </c>
      <c r="J193" s="4">
        <f t="shared" si="75"/>
        <v>0</v>
      </c>
      <c r="K193" s="4">
        <f t="shared" si="75"/>
        <v>0</v>
      </c>
      <c r="L193" s="4">
        <f t="shared" si="75"/>
        <v>0</v>
      </c>
      <c r="M193" s="4">
        <f t="shared" si="75"/>
        <v>0</v>
      </c>
      <c r="N193" s="4">
        <f t="shared" si="75"/>
        <v>0</v>
      </c>
    </row>
    <row r="197" spans="1:14">
      <c r="A197" s="14">
        <f>input_all!BX3</f>
        <v>1.1000000000000001</v>
      </c>
      <c r="B197" s="4" t="str">
        <f>input_all!BZ3</f>
        <v>Water</v>
      </c>
    </row>
    <row r="198" spans="1:14">
      <c r="A198" s="14">
        <f>input_all!BX4</f>
        <v>2.1</v>
      </c>
      <c r="B198" s="4" t="str">
        <f>input_all!BZ4</f>
        <v>Ethanol</v>
      </c>
    </row>
    <row r="202" spans="1:14">
      <c r="A202" s="4" t="str">
        <f>IF(A50=P50,$B$192,IF(A50=Q50,$B$193,VLOOKUP(B2,$D$73:$E$89,2)))</f>
        <v>Vapor pressure</v>
      </c>
    </row>
    <row r="203" spans="1:14">
      <c r="A203" s="4" t="str">
        <f t="shared" ref="A203:A207" si="76">IF(A51=P51,$B$192,IF(A51=Q51,$B$193,VLOOKUP(B3,$D$73:$E$89,2)))</f>
        <v>Vapor pressure</v>
      </c>
    </row>
    <row r="204" spans="1:14">
      <c r="A204" s="4" t="str">
        <f t="shared" si="76"/>
        <v>Molecular weight</v>
      </c>
    </row>
    <row r="205" spans="1:14">
      <c r="A205" s="4" t="str">
        <f>IF(A53=P53,$B$192,IF(A53=Q53,$B$193,VLOOKUP(B5,$D$73:$E$89,2)))</f>
        <v>Vapor pressure</v>
      </c>
    </row>
    <row r="206" spans="1:14">
      <c r="A206" s="4" t="str">
        <f t="shared" si="76"/>
        <v>Molecular weight</v>
      </c>
    </row>
    <row r="207" spans="1:14">
      <c r="A207" s="4" t="str">
        <f t="shared" si="76"/>
        <v>Reaction</v>
      </c>
    </row>
    <row r="208" spans="1:14">
      <c r="A208" s="4" t="str">
        <f>IF(A56=P56,$B$192,IF(A56=Q56,$B$193,VLOOKUP(B8,$D$73:$E$89,2)))</f>
        <v>Vapor pressure</v>
      </c>
    </row>
    <row r="213" spans="1:14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</row>
    <row r="214" spans="1:14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</row>
    <row r="215" spans="1:14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</row>
    <row r="216" spans="1:14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</row>
    <row r="217" spans="1:14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</row>
    <row r="218" spans="1:14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</row>
    <row r="219" spans="1:14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</row>
    <row r="220" spans="1:14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</row>
  </sheetData>
  <mergeCells count="129">
    <mergeCell ref="AZ30:BA30"/>
    <mergeCell ref="AZ31:BA31"/>
    <mergeCell ref="AV25:AW25"/>
    <mergeCell ref="AV29:AW29"/>
    <mergeCell ref="BE26:BF26"/>
    <mergeCell ref="BE28:BF28"/>
    <mergeCell ref="BE25:BF25"/>
    <mergeCell ref="AZ29:BA29"/>
    <mergeCell ref="AV32:AW32"/>
    <mergeCell ref="AZ26:BD28"/>
    <mergeCell ref="AH43:AI43"/>
    <mergeCell ref="AM34:AN34"/>
    <mergeCell ref="AM31:AN31"/>
    <mergeCell ref="AM35:AN35"/>
    <mergeCell ref="AM32:AN32"/>
    <mergeCell ref="AN40:AO40"/>
    <mergeCell ref="AN41:AO41"/>
    <mergeCell ref="AN42:AO42"/>
    <mergeCell ref="AH36:AI36"/>
    <mergeCell ref="AH37:AI37"/>
    <mergeCell ref="AK35:AL35"/>
    <mergeCell ref="AH41:AI41"/>
    <mergeCell ref="AH42:AI42"/>
    <mergeCell ref="AN37:AR39"/>
    <mergeCell ref="AQ32:AU34"/>
    <mergeCell ref="AS37:AT37"/>
    <mergeCell ref="AS39:AT39"/>
    <mergeCell ref="AS36:AT36"/>
    <mergeCell ref="AS40:AT40"/>
    <mergeCell ref="AQ31:AR31"/>
    <mergeCell ref="AQ35:AR35"/>
    <mergeCell ref="AQ36:AR36"/>
    <mergeCell ref="AT35:AU35"/>
    <mergeCell ref="AH31:AI31"/>
    <mergeCell ref="AH3:AI3"/>
    <mergeCell ref="L43:M43"/>
    <mergeCell ref="AH1:AI1"/>
    <mergeCell ref="AH2:AI2"/>
    <mergeCell ref="AM18:AN18"/>
    <mergeCell ref="AM19:AN19"/>
    <mergeCell ref="AM26:AN26"/>
    <mergeCell ref="AH13:AI13"/>
    <mergeCell ref="AH14:AI14"/>
    <mergeCell ref="AH15:AI15"/>
    <mergeCell ref="AK13:AL13"/>
    <mergeCell ref="AK14:AL14"/>
    <mergeCell ref="AK15:AL15"/>
    <mergeCell ref="AN5:AR7"/>
    <mergeCell ref="AH4:AL6"/>
    <mergeCell ref="AN2:AO2"/>
    <mergeCell ref="AN3:AO3"/>
    <mergeCell ref="AN4:AO4"/>
    <mergeCell ref="AQ26:AU28"/>
    <mergeCell ref="AH7:AI7"/>
    <mergeCell ref="AK9:AL9"/>
    <mergeCell ref="AS4:AT4"/>
    <mergeCell ref="AS5:AT5"/>
    <mergeCell ref="AS2:AT2"/>
    <mergeCell ref="AB18:AC18"/>
    <mergeCell ref="AB19:AC19"/>
    <mergeCell ref="AB20:AC20"/>
    <mergeCell ref="AE18:AF18"/>
    <mergeCell ref="AE19:AF19"/>
    <mergeCell ref="AE20:AF20"/>
    <mergeCell ref="AB24:AC24"/>
    <mergeCell ref="AB25:AC25"/>
    <mergeCell ref="AB26:AC26"/>
    <mergeCell ref="AE24:AF24"/>
    <mergeCell ref="AE25:AF25"/>
    <mergeCell ref="AE26:AF26"/>
    <mergeCell ref="AV19:AW19"/>
    <mergeCell ref="AZ13:BA13"/>
    <mergeCell ref="AZ14:BA14"/>
    <mergeCell ref="AZ15:BA15"/>
    <mergeCell ref="AV9:AW9"/>
    <mergeCell ref="AV10:AW10"/>
    <mergeCell ref="AV12:AW12"/>
    <mergeCell ref="AC37:AE39"/>
    <mergeCell ref="AB21:AF23"/>
    <mergeCell ref="AH26:AL28"/>
    <mergeCell ref="AH16:AL18"/>
    <mergeCell ref="AH32:AL34"/>
    <mergeCell ref="AH38:AL40"/>
    <mergeCell ref="AM28:AN28"/>
    <mergeCell ref="AM25:AN25"/>
    <mergeCell ref="AM29:AN29"/>
    <mergeCell ref="AM24:AN24"/>
    <mergeCell ref="AH35:AI35"/>
    <mergeCell ref="AV34:AW34"/>
    <mergeCell ref="AV31:AW31"/>
    <mergeCell ref="AV26:AW26"/>
    <mergeCell ref="AV28:AW28"/>
    <mergeCell ref="AQ29:AR29"/>
    <mergeCell ref="AQ30:AR30"/>
    <mergeCell ref="AK29:AL29"/>
    <mergeCell ref="AK30:AL30"/>
    <mergeCell ref="AQ8:AR8"/>
    <mergeCell ref="AQ9:AR9"/>
    <mergeCell ref="AT9:AU9"/>
    <mergeCell ref="AH10:AL12"/>
    <mergeCell ref="AQ10:AU12"/>
    <mergeCell ref="AH9:AI9"/>
    <mergeCell ref="AM10:AN10"/>
    <mergeCell ref="AM12:AN12"/>
    <mergeCell ref="AM9:AN9"/>
    <mergeCell ref="AH8:AI8"/>
    <mergeCell ref="AT29:AU29"/>
    <mergeCell ref="AQ15:AR15"/>
    <mergeCell ref="AQ13:AR13"/>
    <mergeCell ref="AQ14:AR14"/>
    <mergeCell ref="AT15:AU15"/>
    <mergeCell ref="AM13:AN13"/>
    <mergeCell ref="AQ16:AU18"/>
    <mergeCell ref="AH29:AI29"/>
    <mergeCell ref="AH30:AI30"/>
    <mergeCell ref="AS3:AT3"/>
    <mergeCell ref="AZ16:BD18"/>
    <mergeCell ref="AM16:AN16"/>
    <mergeCell ref="AM15:AN15"/>
    <mergeCell ref="AM14:AN14"/>
    <mergeCell ref="BE15:BF15"/>
    <mergeCell ref="BE16:BF16"/>
    <mergeCell ref="BE18:BF18"/>
    <mergeCell ref="AV16:AW16"/>
    <mergeCell ref="AV15:AW15"/>
    <mergeCell ref="AV18:AW18"/>
    <mergeCell ref="AW4:AY4"/>
    <mergeCell ref="AW6:AY6"/>
    <mergeCell ref="AW8:AY8"/>
  </mergeCells>
  <conditionalFormatting sqref="AH26">
    <cfRule type="expression" dxfId="104" priority="243">
      <formula>$N$34=17</formula>
    </cfRule>
  </conditionalFormatting>
  <conditionalFormatting sqref="AC37">
    <cfRule type="cellIs" dxfId="103" priority="233" operator="greaterThan">
      <formula>0</formula>
    </cfRule>
  </conditionalFormatting>
  <conditionalFormatting sqref="AH32">
    <cfRule type="expression" dxfId="102" priority="206">
      <formula>$N$39=17</formula>
    </cfRule>
  </conditionalFormatting>
  <conditionalFormatting sqref="AQ26 BU26">
    <cfRule type="expression" dxfId="101" priority="205">
      <formula>$N$36=17</formula>
    </cfRule>
  </conditionalFormatting>
  <conditionalFormatting sqref="AH10">
    <cfRule type="expression" dxfId="100" priority="202">
      <formula>$N$32=17</formula>
    </cfRule>
  </conditionalFormatting>
  <conditionalFormatting sqref="AQ16">
    <cfRule type="expression" dxfId="99" priority="199">
      <formula>$N$29=17</formula>
    </cfRule>
  </conditionalFormatting>
  <conditionalFormatting sqref="AH4">
    <cfRule type="expression" dxfId="98" priority="196">
      <formula>$N$33=17</formula>
    </cfRule>
  </conditionalFormatting>
  <conditionalFormatting sqref="AQ10">
    <cfRule type="expression" dxfId="97" priority="191">
      <formula>$N$30=17</formula>
    </cfRule>
  </conditionalFormatting>
  <conditionalFormatting sqref="AQ22">
    <cfRule type="cellIs" dxfId="96" priority="185" operator="greaterThan">
      <formula>0</formula>
    </cfRule>
  </conditionalFormatting>
  <conditionalFormatting sqref="AZ16">
    <cfRule type="expression" dxfId="95" priority="181">
      <formula>$N$28=17</formula>
    </cfRule>
  </conditionalFormatting>
  <conditionalFormatting sqref="AN5">
    <cfRule type="expression" dxfId="94" priority="174">
      <formula>$N$31=17</formula>
    </cfRule>
  </conditionalFormatting>
  <conditionalFormatting sqref="AH38">
    <cfRule type="expression" dxfId="93" priority="170">
      <formula>$N$40=17</formula>
    </cfRule>
  </conditionalFormatting>
  <conditionalFormatting sqref="AN37">
    <cfRule type="expression" dxfId="92" priority="163">
      <formula>$N$38=17</formula>
    </cfRule>
  </conditionalFormatting>
  <conditionalFormatting sqref="AQ32">
    <cfRule type="expression" dxfId="91" priority="158">
      <formula>$N$37=17</formula>
    </cfRule>
  </conditionalFormatting>
  <conditionalFormatting sqref="AZ26">
    <cfRule type="expression" dxfId="90" priority="153">
      <formula>$N$35=17</formula>
    </cfRule>
  </conditionalFormatting>
  <conditionalFormatting sqref="BL7:BM7">
    <cfRule type="expression" dxfId="89" priority="145">
      <formula>ISNA($AH$9)</formula>
    </cfRule>
  </conditionalFormatting>
  <conditionalFormatting sqref="BO9:BP9">
    <cfRule type="expression" dxfId="88" priority="144">
      <formula>ISNA($AA$1:$BH$48)</formula>
    </cfRule>
  </conditionalFormatting>
  <conditionalFormatting sqref="AA3 AZ4:BK4 AW4 AZ8:BK8 AW8">
    <cfRule type="cellIs" dxfId="87" priority="138" operator="equal">
      <formula>0</formula>
    </cfRule>
  </conditionalFormatting>
  <conditionalFormatting sqref="AP15:BH15 AA14:AJ15 AM14:BH14 AM15:AN15 AA32:AM32 AA41:BH49 AU36:BH37 AA39:AR40 AU39:BH40 AA36:AR37 AA33:BH33 AO32:AV32 AA1:BH3 AA5:BH5 AA4:AV4 AA7:BH7 AA6:AW6 AZ6:BH6 AA9:BH13 AA8:AV8">
    <cfRule type="cellIs" dxfId="86" priority="137" operator="equal">
      <formula>0</formula>
    </cfRule>
  </conditionalFormatting>
  <conditionalFormatting sqref="L43:M43">
    <cfRule type="cellIs" dxfId="85" priority="136" operator="equal">
      <formula>0</formula>
    </cfRule>
  </conditionalFormatting>
  <conditionalFormatting sqref="AK14:AL15">
    <cfRule type="cellIs" dxfId="84" priority="86" operator="equal">
      <formula>0</formula>
    </cfRule>
  </conditionalFormatting>
  <conditionalFormatting sqref="AS37">
    <cfRule type="cellIs" dxfId="83" priority="85" operator="equal">
      <formula>0</formula>
    </cfRule>
  </conditionalFormatting>
  <conditionalFormatting sqref="AS39">
    <cfRule type="cellIs" dxfId="82" priority="84" operator="equal">
      <formula>0</formula>
    </cfRule>
  </conditionalFormatting>
  <conditionalFormatting sqref="AS36">
    <cfRule type="cellIs" dxfId="81" priority="83" operator="equal">
      <formula>0</formula>
    </cfRule>
  </conditionalFormatting>
  <conditionalFormatting sqref="AS40">
    <cfRule type="cellIs" dxfId="80" priority="82" operator="equal">
      <formula>0</formula>
    </cfRule>
  </conditionalFormatting>
  <conditionalFormatting sqref="AV34">
    <cfRule type="cellIs" dxfId="79" priority="81" operator="equal">
      <formula>0</formula>
    </cfRule>
  </conditionalFormatting>
  <conditionalFormatting sqref="AV31">
    <cfRule type="cellIs" dxfId="78" priority="80" operator="equal">
      <formula>0</formula>
    </cfRule>
  </conditionalFormatting>
  <conditionalFormatting sqref="AA1:BG3 AA5:BG5 AA4:AW4 AA7:BG7 AA6:AW6 AZ6:BG6 AZ8:BG8 AA8:AW8 AA9:BG45 AZ4:BG4">
    <cfRule type="cellIs" dxfId="77" priority="67" operator="equal">
      <formula>10</formula>
    </cfRule>
  </conditionalFormatting>
  <conditionalFormatting sqref="AB2:BK3 AB5:BK5 AB4:AV4 AB7:BK7 AB6:AW6 AZ6:BK6 AB9:BK53 AB8:AV8">
    <cfRule type="cellIs" dxfId="76" priority="66" operator="equal">
      <formula>0</formula>
    </cfRule>
  </conditionalFormatting>
  <conditionalFormatting sqref="X3:Y3">
    <cfRule type="containsText" dxfId="75" priority="64" operator="containsText" text="No">
      <formula>NOT(ISERROR(SEARCH("No",X3)))</formula>
    </cfRule>
    <cfRule type="containsText" dxfId="74" priority="65" operator="containsText" text="Yes">
      <formula>NOT(ISERROR(SEARCH("Yes",X3)))</formula>
    </cfRule>
  </conditionalFormatting>
  <conditionalFormatting sqref="I26:I37">
    <cfRule type="cellIs" dxfId="73" priority="62" operator="lessThan">
      <formula>1</formula>
    </cfRule>
    <cfRule type="cellIs" dxfId="72" priority="63" operator="greaterThan">
      <formula>1</formula>
    </cfRule>
  </conditionalFormatting>
  <conditionalFormatting sqref="AB21">
    <cfRule type="expression" dxfId="71" priority="251">
      <formula>$N$26=-17</formula>
    </cfRule>
  </conditionalFormatting>
  <conditionalFormatting sqref="AH16">
    <cfRule type="expression" dxfId="70" priority="252">
      <formula>$N$27=17</formula>
    </cfRule>
  </conditionalFormatting>
  <conditionalFormatting sqref="AB21">
    <cfRule type="expression" dxfId="69" priority="253">
      <formula>$N$26=17</formula>
    </cfRule>
  </conditionalFormatting>
  <conditionalFormatting sqref="AH16:AL18">
    <cfRule type="expression" dxfId="68" priority="254">
      <formula>$N$27=-17</formula>
    </cfRule>
  </conditionalFormatting>
  <conditionalFormatting sqref="AH10:AL12">
    <cfRule type="expression" dxfId="67" priority="60">
      <formula>$N$32=-17</formula>
    </cfRule>
  </conditionalFormatting>
  <conditionalFormatting sqref="AH4:AL6">
    <cfRule type="expression" dxfId="66" priority="59">
      <formula>$N$33=-17</formula>
    </cfRule>
  </conditionalFormatting>
  <conditionalFormatting sqref="AN5:AR7">
    <cfRule type="expression" dxfId="65" priority="58">
      <formula>$N$31=17</formula>
    </cfRule>
  </conditionalFormatting>
  <conditionalFormatting sqref="AQ10:AU12">
    <cfRule type="expression" dxfId="64" priority="57">
      <formula>$N$30=-17</formula>
    </cfRule>
  </conditionalFormatting>
  <conditionalFormatting sqref="AQ16:AU18">
    <cfRule type="expression" dxfId="63" priority="56">
      <formula>$N$29=-17</formula>
    </cfRule>
  </conditionalFormatting>
  <conditionalFormatting sqref="AZ16:BD18">
    <cfRule type="expression" dxfId="62" priority="55">
      <formula>$N$28=-17</formula>
    </cfRule>
  </conditionalFormatting>
  <conditionalFormatting sqref="AH26:AL28">
    <cfRule type="expression" dxfId="61" priority="54">
      <formula>$N$34=-17</formula>
    </cfRule>
  </conditionalFormatting>
  <conditionalFormatting sqref="AQ26:AU28">
    <cfRule type="expression" dxfId="60" priority="53">
      <formula>$N$36=-17</formula>
    </cfRule>
  </conditionalFormatting>
  <conditionalFormatting sqref="AZ26:BD28">
    <cfRule type="expression" dxfId="59" priority="52">
      <formula>$N$35=-17</formula>
    </cfRule>
  </conditionalFormatting>
  <conditionalFormatting sqref="AQ32:AU34">
    <cfRule type="expression" dxfId="58" priority="51">
      <formula>$N$37=-17</formula>
    </cfRule>
  </conditionalFormatting>
  <conditionalFormatting sqref="AN37:AR39">
    <cfRule type="expression" dxfId="57" priority="50">
      <formula>$N$38=-17</formula>
    </cfRule>
  </conditionalFormatting>
  <conditionalFormatting sqref="AH32:AL34">
    <cfRule type="expression" dxfId="56" priority="49">
      <formula>$N$39=-17</formula>
    </cfRule>
  </conditionalFormatting>
  <conditionalFormatting sqref="AH38:AL40">
    <cfRule type="expression" dxfId="55" priority="48">
      <formula>$N$40=-17</formula>
    </cfRule>
  </conditionalFormatting>
  <conditionalFormatting sqref="X17:Y17">
    <cfRule type="containsText" dxfId="54" priority="46" operator="containsText" text="Yes">
      <formula>NOT(ISERROR(SEARCH("Yes",X17)))</formula>
    </cfRule>
    <cfRule type="containsText" dxfId="53" priority="47" operator="containsText" text="No">
      <formula>NOT(ISERROR(SEARCH("No",X17)))</formula>
    </cfRule>
  </conditionalFormatting>
  <conditionalFormatting sqref="AA1:BI3 AA5:BI5 AA4:AW4 AA7:BI7 AA6:AW6 AZ6:BI6 AZ8:BI8 AA8:AW8 AA9:BI44 AZ4:BI4">
    <cfRule type="containsText" dxfId="52" priority="45" operator="containsText" text=": Reaction">
      <formula>NOT(ISERROR(SEARCH(": Reaction",AA1)))</formula>
    </cfRule>
  </conditionalFormatting>
  <conditionalFormatting sqref="AW4">
    <cfRule type="expression" dxfId="51" priority="44">
      <formula>$A$3&gt;0</formula>
    </cfRule>
  </conditionalFormatting>
  <conditionalFormatting sqref="AW6">
    <cfRule type="expression" dxfId="50" priority="43">
      <formula>$A$3&gt;0</formula>
    </cfRule>
  </conditionalFormatting>
  <conditionalFormatting sqref="AW8">
    <cfRule type="expression" dxfId="49" priority="42">
      <formula>$A$3&gt;0</formula>
    </cfRule>
  </conditionalFormatting>
  <conditionalFormatting sqref="AA22">
    <cfRule type="cellIs" dxfId="48" priority="38" operator="equal">
      <formula>0</formula>
    </cfRule>
  </conditionalFormatting>
  <conditionalFormatting sqref="Z22">
    <cfRule type="expression" dxfId="47" priority="37">
      <formula>$Z$22=0</formula>
    </cfRule>
  </conditionalFormatting>
  <conditionalFormatting sqref="BA4">
    <cfRule type="cellIs" dxfId="46" priority="34" operator="equal">
      <formula>0</formula>
    </cfRule>
  </conditionalFormatting>
  <conditionalFormatting sqref="U24:U30">
    <cfRule type="cellIs" dxfId="45" priority="1" operator="equal">
      <formula>0</formula>
    </cfRule>
  </conditionalFormatting>
  <conditionalFormatting sqref="U17">
    <cfRule type="expression" dxfId="44" priority="16">
      <formula>$B$171&gt;1</formula>
    </cfRule>
  </conditionalFormatting>
  <conditionalFormatting sqref="U24">
    <cfRule type="expression" dxfId="43" priority="13">
      <formula>$O$50=-17</formula>
    </cfRule>
    <cfRule type="expression" dxfId="42" priority="14">
      <formula>$O$50=17</formula>
    </cfRule>
  </conditionalFormatting>
  <conditionalFormatting sqref="U25">
    <cfRule type="expression" dxfId="41" priority="12">
      <formula>$O$51=-17</formula>
    </cfRule>
    <cfRule type="expression" dxfId="40" priority="17">
      <formula>$O$51=17</formula>
    </cfRule>
  </conditionalFormatting>
  <conditionalFormatting sqref="U26">
    <cfRule type="expression" dxfId="39" priority="10">
      <formula>$O$52=-17</formula>
    </cfRule>
    <cfRule type="expression" dxfId="38" priority="11">
      <formula>$O$52=17</formula>
    </cfRule>
  </conditionalFormatting>
  <conditionalFormatting sqref="U27">
    <cfRule type="expression" dxfId="37" priority="8">
      <formula>$O$53=-17</formula>
    </cfRule>
    <cfRule type="expression" dxfId="36" priority="9">
      <formula>$O$53=17</formula>
    </cfRule>
  </conditionalFormatting>
  <conditionalFormatting sqref="U28">
    <cfRule type="expression" dxfId="35" priority="6">
      <formula>$O$54=-17</formula>
    </cfRule>
    <cfRule type="expression" dxfId="34" priority="7">
      <formula>$O$54=17</formula>
    </cfRule>
  </conditionalFormatting>
  <conditionalFormatting sqref="U29">
    <cfRule type="expression" dxfId="33" priority="4">
      <formula>$O$55=-17</formula>
    </cfRule>
    <cfRule type="expression" dxfId="32" priority="5">
      <formula>$O$55=17</formula>
    </cfRule>
  </conditionalFormatting>
  <conditionalFormatting sqref="U30">
    <cfRule type="expression" dxfId="31" priority="2">
      <formula>$O$56=-17</formula>
    </cfRule>
    <cfRule type="expression" dxfId="30" priority="3">
      <formula>$O$56=17</formula>
    </cfRule>
  </conditionalFormatting>
  <dataValidations count="5">
    <dataValidation type="list" allowBlank="1" showInputMessage="1" showErrorMessage="1" sqref="V6:W13">
      <formula1>$B$41:$B$48</formula1>
    </dataValidation>
    <dataValidation type="list" allowBlank="1" showInputMessage="1" showErrorMessage="1" sqref="X6:X13">
      <formula1>$A$73:$A$90</formula1>
    </dataValidation>
    <dataValidation type="list" allowBlank="1" showInputMessage="1" showErrorMessage="1" sqref="U3">
      <formula1>$D$41:$D$48</formula1>
    </dataValidation>
    <dataValidation type="list" allowBlank="1" showInputMessage="1" showErrorMessage="1" sqref="U17">
      <formula1>$G$41:$G$43</formula1>
    </dataValidation>
    <dataValidation type="list" allowBlank="1" showInputMessage="1" showErrorMessage="1" sqref="U6:U13">
      <formula1>$A$26:$A$32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7229" r:id="rId4" name="CheckBox27">
          <controlPr autoLine="0" r:id="rId5">
            <anchor moveWithCells="1">
              <from>
                <xdr:col>23</xdr:col>
                <xdr:colOff>1000125</xdr:colOff>
                <xdr:row>31</xdr:row>
                <xdr:rowOff>19050</xdr:rowOff>
              </from>
              <to>
                <xdr:col>24</xdr:col>
                <xdr:colOff>0</xdr:colOff>
                <xdr:row>31</xdr:row>
                <xdr:rowOff>180975</xdr:rowOff>
              </to>
            </anchor>
          </controlPr>
        </control>
      </mc:Choice>
      <mc:Fallback>
        <control shapeId="7229" r:id="rId4" name="CheckBox27"/>
      </mc:Fallback>
    </mc:AlternateContent>
    <mc:AlternateContent xmlns:mc="http://schemas.openxmlformats.org/markup-compatibility/2006">
      <mc:Choice Requires="x14">
        <control shapeId="7228" r:id="rId6" name="CheckBox26">
          <controlPr autoLine="0" r:id="rId7">
            <anchor moveWithCells="1">
              <from>
                <xdr:col>22</xdr:col>
                <xdr:colOff>904875</xdr:colOff>
                <xdr:row>31</xdr:row>
                <xdr:rowOff>9525</xdr:rowOff>
              </from>
              <to>
                <xdr:col>23</xdr:col>
                <xdr:colOff>0</xdr:colOff>
                <xdr:row>31</xdr:row>
                <xdr:rowOff>171450</xdr:rowOff>
              </to>
            </anchor>
          </controlPr>
        </control>
      </mc:Choice>
      <mc:Fallback>
        <control shapeId="7228" r:id="rId6" name="CheckBox26"/>
      </mc:Fallback>
    </mc:AlternateContent>
    <mc:AlternateContent xmlns:mc="http://schemas.openxmlformats.org/markup-compatibility/2006">
      <mc:Choice Requires="x14">
        <control shapeId="7227" r:id="rId8" name="CheckBox25">
          <controlPr autoLine="0" r:id="rId9">
            <anchor moveWithCells="1">
              <from>
                <xdr:col>21</xdr:col>
                <xdr:colOff>1104900</xdr:colOff>
                <xdr:row>31</xdr:row>
                <xdr:rowOff>19050</xdr:rowOff>
              </from>
              <to>
                <xdr:col>21</xdr:col>
                <xdr:colOff>1247775</xdr:colOff>
                <xdr:row>31</xdr:row>
                <xdr:rowOff>180975</xdr:rowOff>
              </to>
            </anchor>
          </controlPr>
        </control>
      </mc:Choice>
      <mc:Fallback>
        <control shapeId="7227" r:id="rId8" name="CheckBox25"/>
      </mc:Fallback>
    </mc:AlternateContent>
    <mc:AlternateContent xmlns:mc="http://schemas.openxmlformats.org/markup-compatibility/2006">
      <mc:Choice Requires="x14">
        <control shapeId="7226" r:id="rId10" name="CheckBox24">
          <controlPr autoLine="0" r:id="rId11">
            <anchor moveWithCells="1">
              <from>
                <xdr:col>23</xdr:col>
                <xdr:colOff>1000125</xdr:colOff>
                <xdr:row>30</xdr:row>
                <xdr:rowOff>19050</xdr:rowOff>
              </from>
              <to>
                <xdr:col>24</xdr:col>
                <xdr:colOff>0</xdr:colOff>
                <xdr:row>30</xdr:row>
                <xdr:rowOff>180975</xdr:rowOff>
              </to>
            </anchor>
          </controlPr>
        </control>
      </mc:Choice>
      <mc:Fallback>
        <control shapeId="7226" r:id="rId10" name="CheckBox24"/>
      </mc:Fallback>
    </mc:AlternateContent>
    <mc:AlternateContent xmlns:mc="http://schemas.openxmlformats.org/markup-compatibility/2006">
      <mc:Choice Requires="x14">
        <control shapeId="7225" r:id="rId12" name="CheckBox23">
          <controlPr autoLine="0" r:id="rId13">
            <anchor moveWithCells="1">
              <from>
                <xdr:col>23</xdr:col>
                <xdr:colOff>1000125</xdr:colOff>
                <xdr:row>29</xdr:row>
                <xdr:rowOff>19050</xdr:rowOff>
              </from>
              <to>
                <xdr:col>24</xdr:col>
                <xdr:colOff>0</xdr:colOff>
                <xdr:row>29</xdr:row>
                <xdr:rowOff>180975</xdr:rowOff>
              </to>
            </anchor>
          </controlPr>
        </control>
      </mc:Choice>
      <mc:Fallback>
        <control shapeId="7225" r:id="rId12" name="CheckBox23"/>
      </mc:Fallback>
    </mc:AlternateContent>
    <mc:AlternateContent xmlns:mc="http://schemas.openxmlformats.org/markup-compatibility/2006">
      <mc:Choice Requires="x14">
        <control shapeId="7224" r:id="rId14" name="CheckBox22">
          <controlPr autoLine="0" r:id="rId15">
            <anchor moveWithCells="1">
              <from>
                <xdr:col>23</xdr:col>
                <xdr:colOff>1000125</xdr:colOff>
                <xdr:row>28</xdr:row>
                <xdr:rowOff>19050</xdr:rowOff>
              </from>
              <to>
                <xdr:col>23</xdr:col>
                <xdr:colOff>1133475</xdr:colOff>
                <xdr:row>28</xdr:row>
                <xdr:rowOff>180975</xdr:rowOff>
              </to>
            </anchor>
          </controlPr>
        </control>
      </mc:Choice>
      <mc:Fallback>
        <control shapeId="7224" r:id="rId14" name="CheckBox22"/>
      </mc:Fallback>
    </mc:AlternateContent>
    <mc:AlternateContent xmlns:mc="http://schemas.openxmlformats.org/markup-compatibility/2006">
      <mc:Choice Requires="x14">
        <control shapeId="7223" r:id="rId16" name="CheckBox21">
          <controlPr autoLine="0" r:id="rId17">
            <anchor moveWithCells="1">
              <from>
                <xdr:col>23</xdr:col>
                <xdr:colOff>1000125</xdr:colOff>
                <xdr:row>27</xdr:row>
                <xdr:rowOff>28575</xdr:rowOff>
              </from>
              <to>
                <xdr:col>23</xdr:col>
                <xdr:colOff>1133475</xdr:colOff>
                <xdr:row>28</xdr:row>
                <xdr:rowOff>0</xdr:rowOff>
              </to>
            </anchor>
          </controlPr>
        </control>
      </mc:Choice>
      <mc:Fallback>
        <control shapeId="7223" r:id="rId16" name="CheckBox21"/>
      </mc:Fallback>
    </mc:AlternateContent>
    <mc:AlternateContent xmlns:mc="http://schemas.openxmlformats.org/markup-compatibility/2006">
      <mc:Choice Requires="x14">
        <control shapeId="7222" r:id="rId18" name="CheckBox20">
          <controlPr autoLine="0" r:id="rId19">
            <anchor moveWithCells="1">
              <from>
                <xdr:col>23</xdr:col>
                <xdr:colOff>1000125</xdr:colOff>
                <xdr:row>26</xdr:row>
                <xdr:rowOff>19050</xdr:rowOff>
              </from>
              <to>
                <xdr:col>24</xdr:col>
                <xdr:colOff>0</xdr:colOff>
                <xdr:row>26</xdr:row>
                <xdr:rowOff>180975</xdr:rowOff>
              </to>
            </anchor>
          </controlPr>
        </control>
      </mc:Choice>
      <mc:Fallback>
        <control shapeId="7222" r:id="rId18" name="CheckBox20"/>
      </mc:Fallback>
    </mc:AlternateContent>
    <mc:AlternateContent xmlns:mc="http://schemas.openxmlformats.org/markup-compatibility/2006">
      <mc:Choice Requires="x14">
        <control shapeId="7221" r:id="rId20" name="CheckBox19">
          <controlPr autoLine="0" r:id="rId21">
            <anchor moveWithCells="1">
              <from>
                <xdr:col>23</xdr:col>
                <xdr:colOff>1000125</xdr:colOff>
                <xdr:row>25</xdr:row>
                <xdr:rowOff>19050</xdr:rowOff>
              </from>
              <to>
                <xdr:col>24</xdr:col>
                <xdr:colOff>0</xdr:colOff>
                <xdr:row>25</xdr:row>
                <xdr:rowOff>180975</xdr:rowOff>
              </to>
            </anchor>
          </controlPr>
        </control>
      </mc:Choice>
      <mc:Fallback>
        <control shapeId="7221" r:id="rId20" name="CheckBox19"/>
      </mc:Fallback>
    </mc:AlternateContent>
    <mc:AlternateContent xmlns:mc="http://schemas.openxmlformats.org/markup-compatibility/2006">
      <mc:Choice Requires="x14">
        <control shapeId="7220" r:id="rId22" name="CheckBox18">
          <controlPr autoLine="0" r:id="rId23">
            <anchor moveWithCells="1">
              <from>
                <xdr:col>23</xdr:col>
                <xdr:colOff>1000125</xdr:colOff>
                <xdr:row>24</xdr:row>
                <xdr:rowOff>19050</xdr:rowOff>
              </from>
              <to>
                <xdr:col>23</xdr:col>
                <xdr:colOff>1133475</xdr:colOff>
                <xdr:row>24</xdr:row>
                <xdr:rowOff>180975</xdr:rowOff>
              </to>
            </anchor>
          </controlPr>
        </control>
      </mc:Choice>
      <mc:Fallback>
        <control shapeId="7220" r:id="rId22" name="CheckBox18"/>
      </mc:Fallback>
    </mc:AlternateContent>
    <mc:AlternateContent xmlns:mc="http://schemas.openxmlformats.org/markup-compatibility/2006">
      <mc:Choice Requires="x14">
        <control shapeId="7219" r:id="rId24" name="CheckBox17">
          <controlPr autoLine="0" r:id="rId25">
            <anchor moveWithCells="1">
              <from>
                <xdr:col>23</xdr:col>
                <xdr:colOff>1000125</xdr:colOff>
                <xdr:row>23</xdr:row>
                <xdr:rowOff>28575</xdr:rowOff>
              </from>
              <to>
                <xdr:col>23</xdr:col>
                <xdr:colOff>1133475</xdr:colOff>
                <xdr:row>24</xdr:row>
                <xdr:rowOff>0</xdr:rowOff>
              </to>
            </anchor>
          </controlPr>
        </control>
      </mc:Choice>
      <mc:Fallback>
        <control shapeId="7219" r:id="rId24" name="CheckBox17"/>
      </mc:Fallback>
    </mc:AlternateContent>
    <mc:AlternateContent xmlns:mc="http://schemas.openxmlformats.org/markup-compatibility/2006">
      <mc:Choice Requires="x14">
        <control shapeId="7218" r:id="rId26" name="CheckBox16">
          <controlPr autoLine="0" r:id="rId27">
            <anchor moveWithCells="1">
              <from>
                <xdr:col>22</xdr:col>
                <xdr:colOff>904875</xdr:colOff>
                <xdr:row>30</xdr:row>
                <xdr:rowOff>9525</xdr:rowOff>
              </from>
              <to>
                <xdr:col>23</xdr:col>
                <xdr:colOff>0</xdr:colOff>
                <xdr:row>30</xdr:row>
                <xdr:rowOff>171450</xdr:rowOff>
              </to>
            </anchor>
          </controlPr>
        </control>
      </mc:Choice>
      <mc:Fallback>
        <control shapeId="7218" r:id="rId26" name="CheckBox16"/>
      </mc:Fallback>
    </mc:AlternateContent>
    <mc:AlternateContent xmlns:mc="http://schemas.openxmlformats.org/markup-compatibility/2006">
      <mc:Choice Requires="x14">
        <control shapeId="7217" r:id="rId28" name="CheckBox15">
          <controlPr autoLine="0" r:id="rId29">
            <anchor moveWithCells="1">
              <from>
                <xdr:col>22</xdr:col>
                <xdr:colOff>904875</xdr:colOff>
                <xdr:row>29</xdr:row>
                <xdr:rowOff>9525</xdr:rowOff>
              </from>
              <to>
                <xdr:col>23</xdr:col>
                <xdr:colOff>0</xdr:colOff>
                <xdr:row>29</xdr:row>
                <xdr:rowOff>171450</xdr:rowOff>
              </to>
            </anchor>
          </controlPr>
        </control>
      </mc:Choice>
      <mc:Fallback>
        <control shapeId="7217" r:id="rId28" name="CheckBox15"/>
      </mc:Fallback>
    </mc:AlternateContent>
    <mc:AlternateContent xmlns:mc="http://schemas.openxmlformats.org/markup-compatibility/2006">
      <mc:Choice Requires="x14">
        <control shapeId="7216" r:id="rId30" name="CheckBox14">
          <controlPr autoLine="0" r:id="rId31">
            <anchor moveWithCells="1">
              <from>
                <xdr:col>22</xdr:col>
                <xdr:colOff>904875</xdr:colOff>
                <xdr:row>28</xdr:row>
                <xdr:rowOff>9525</xdr:rowOff>
              </from>
              <to>
                <xdr:col>22</xdr:col>
                <xdr:colOff>1038225</xdr:colOff>
                <xdr:row>28</xdr:row>
                <xdr:rowOff>171450</xdr:rowOff>
              </to>
            </anchor>
          </controlPr>
        </control>
      </mc:Choice>
      <mc:Fallback>
        <control shapeId="7216" r:id="rId30" name="CheckBox14"/>
      </mc:Fallback>
    </mc:AlternateContent>
    <mc:AlternateContent xmlns:mc="http://schemas.openxmlformats.org/markup-compatibility/2006">
      <mc:Choice Requires="x14">
        <control shapeId="7215" r:id="rId32" name="CheckBox13">
          <controlPr autoLine="0" r:id="rId33">
            <anchor moveWithCells="1">
              <from>
                <xdr:col>22</xdr:col>
                <xdr:colOff>904875</xdr:colOff>
                <xdr:row>27</xdr:row>
                <xdr:rowOff>19050</xdr:rowOff>
              </from>
              <to>
                <xdr:col>22</xdr:col>
                <xdr:colOff>1038225</xdr:colOff>
                <xdr:row>27</xdr:row>
                <xdr:rowOff>180975</xdr:rowOff>
              </to>
            </anchor>
          </controlPr>
        </control>
      </mc:Choice>
      <mc:Fallback>
        <control shapeId="7215" r:id="rId32" name="CheckBox13"/>
      </mc:Fallback>
    </mc:AlternateContent>
    <mc:AlternateContent xmlns:mc="http://schemas.openxmlformats.org/markup-compatibility/2006">
      <mc:Choice Requires="x14">
        <control shapeId="7214" r:id="rId34" name="CheckBox12">
          <controlPr autoLine="0" r:id="rId35">
            <anchor moveWithCells="1">
              <from>
                <xdr:col>22</xdr:col>
                <xdr:colOff>904875</xdr:colOff>
                <xdr:row>26</xdr:row>
                <xdr:rowOff>9525</xdr:rowOff>
              </from>
              <to>
                <xdr:col>23</xdr:col>
                <xdr:colOff>0</xdr:colOff>
                <xdr:row>26</xdr:row>
                <xdr:rowOff>171450</xdr:rowOff>
              </to>
            </anchor>
          </controlPr>
        </control>
      </mc:Choice>
      <mc:Fallback>
        <control shapeId="7214" r:id="rId34" name="CheckBox12"/>
      </mc:Fallback>
    </mc:AlternateContent>
    <mc:AlternateContent xmlns:mc="http://schemas.openxmlformats.org/markup-compatibility/2006">
      <mc:Choice Requires="x14">
        <control shapeId="7213" r:id="rId36" name="CheckBox11">
          <controlPr autoLine="0" r:id="rId37">
            <anchor moveWithCells="1">
              <from>
                <xdr:col>22</xdr:col>
                <xdr:colOff>904875</xdr:colOff>
                <xdr:row>25</xdr:row>
                <xdr:rowOff>9525</xdr:rowOff>
              </from>
              <to>
                <xdr:col>23</xdr:col>
                <xdr:colOff>0</xdr:colOff>
                <xdr:row>25</xdr:row>
                <xdr:rowOff>171450</xdr:rowOff>
              </to>
            </anchor>
          </controlPr>
        </control>
      </mc:Choice>
      <mc:Fallback>
        <control shapeId="7213" r:id="rId36" name="CheckBox11"/>
      </mc:Fallback>
    </mc:AlternateContent>
    <mc:AlternateContent xmlns:mc="http://schemas.openxmlformats.org/markup-compatibility/2006">
      <mc:Choice Requires="x14">
        <control shapeId="7212" r:id="rId38" name="CheckBox10">
          <controlPr autoLine="0" r:id="rId39">
            <anchor moveWithCells="1">
              <from>
                <xdr:col>22</xdr:col>
                <xdr:colOff>904875</xdr:colOff>
                <xdr:row>24</xdr:row>
                <xdr:rowOff>9525</xdr:rowOff>
              </from>
              <to>
                <xdr:col>22</xdr:col>
                <xdr:colOff>1038225</xdr:colOff>
                <xdr:row>24</xdr:row>
                <xdr:rowOff>171450</xdr:rowOff>
              </to>
            </anchor>
          </controlPr>
        </control>
      </mc:Choice>
      <mc:Fallback>
        <control shapeId="7212" r:id="rId38" name="CheckBox10"/>
      </mc:Fallback>
    </mc:AlternateContent>
    <mc:AlternateContent xmlns:mc="http://schemas.openxmlformats.org/markup-compatibility/2006">
      <mc:Choice Requires="x14">
        <control shapeId="7211" r:id="rId40" name="CheckBox9">
          <controlPr autoLine="0" r:id="rId41">
            <anchor moveWithCells="1">
              <from>
                <xdr:col>22</xdr:col>
                <xdr:colOff>904875</xdr:colOff>
                <xdr:row>23</xdr:row>
                <xdr:rowOff>19050</xdr:rowOff>
              </from>
              <to>
                <xdr:col>22</xdr:col>
                <xdr:colOff>1038225</xdr:colOff>
                <xdr:row>23</xdr:row>
                <xdr:rowOff>180975</xdr:rowOff>
              </to>
            </anchor>
          </controlPr>
        </control>
      </mc:Choice>
      <mc:Fallback>
        <control shapeId="7211" r:id="rId40" name="CheckBox9"/>
      </mc:Fallback>
    </mc:AlternateContent>
    <mc:AlternateContent xmlns:mc="http://schemas.openxmlformats.org/markup-compatibility/2006">
      <mc:Choice Requires="x14">
        <control shapeId="7210" r:id="rId42" name="CheckBox8">
          <controlPr autoLine="0" r:id="rId43">
            <anchor moveWithCells="1">
              <from>
                <xdr:col>21</xdr:col>
                <xdr:colOff>1104900</xdr:colOff>
                <xdr:row>30</xdr:row>
                <xdr:rowOff>19050</xdr:rowOff>
              </from>
              <to>
                <xdr:col>21</xdr:col>
                <xdr:colOff>1247775</xdr:colOff>
                <xdr:row>30</xdr:row>
                <xdr:rowOff>180975</xdr:rowOff>
              </to>
            </anchor>
          </controlPr>
        </control>
      </mc:Choice>
      <mc:Fallback>
        <control shapeId="7210" r:id="rId42" name="CheckBox8"/>
      </mc:Fallback>
    </mc:AlternateContent>
    <mc:AlternateContent xmlns:mc="http://schemas.openxmlformats.org/markup-compatibility/2006">
      <mc:Choice Requires="x14">
        <control shapeId="7209" r:id="rId44" name="CheckBox7">
          <controlPr autoLine="0" r:id="rId45">
            <anchor moveWithCells="1">
              <from>
                <xdr:col>21</xdr:col>
                <xdr:colOff>1104900</xdr:colOff>
                <xdr:row>29</xdr:row>
                <xdr:rowOff>19050</xdr:rowOff>
              </from>
              <to>
                <xdr:col>21</xdr:col>
                <xdr:colOff>1247775</xdr:colOff>
                <xdr:row>29</xdr:row>
                <xdr:rowOff>180975</xdr:rowOff>
              </to>
            </anchor>
          </controlPr>
        </control>
      </mc:Choice>
      <mc:Fallback>
        <control shapeId="7209" r:id="rId44" name="CheckBox7"/>
      </mc:Fallback>
    </mc:AlternateContent>
    <mc:AlternateContent xmlns:mc="http://schemas.openxmlformats.org/markup-compatibility/2006">
      <mc:Choice Requires="x14">
        <control shapeId="7208" r:id="rId46" name="CheckBox6">
          <controlPr autoLine="0" r:id="rId47">
            <anchor moveWithCells="1">
              <from>
                <xdr:col>21</xdr:col>
                <xdr:colOff>1104900</xdr:colOff>
                <xdr:row>28</xdr:row>
                <xdr:rowOff>19050</xdr:rowOff>
              </from>
              <to>
                <xdr:col>21</xdr:col>
                <xdr:colOff>1238250</xdr:colOff>
                <xdr:row>28</xdr:row>
                <xdr:rowOff>180975</xdr:rowOff>
              </to>
            </anchor>
          </controlPr>
        </control>
      </mc:Choice>
      <mc:Fallback>
        <control shapeId="7208" r:id="rId46" name="CheckBox6"/>
      </mc:Fallback>
    </mc:AlternateContent>
    <mc:AlternateContent xmlns:mc="http://schemas.openxmlformats.org/markup-compatibility/2006">
      <mc:Choice Requires="x14">
        <control shapeId="7207" r:id="rId48" name="CheckBox5">
          <controlPr autoLine="0" r:id="rId49">
            <anchor moveWithCells="1">
              <from>
                <xdr:col>21</xdr:col>
                <xdr:colOff>1104900</xdr:colOff>
                <xdr:row>27</xdr:row>
                <xdr:rowOff>28575</xdr:rowOff>
              </from>
              <to>
                <xdr:col>21</xdr:col>
                <xdr:colOff>1238250</xdr:colOff>
                <xdr:row>28</xdr:row>
                <xdr:rowOff>0</xdr:rowOff>
              </to>
            </anchor>
          </controlPr>
        </control>
      </mc:Choice>
      <mc:Fallback>
        <control shapeId="7207" r:id="rId48" name="CheckBox5"/>
      </mc:Fallback>
    </mc:AlternateContent>
    <mc:AlternateContent xmlns:mc="http://schemas.openxmlformats.org/markup-compatibility/2006">
      <mc:Choice Requires="x14">
        <control shapeId="7206" r:id="rId50" name="CheckBox4">
          <controlPr autoLine="0" r:id="rId51">
            <anchor moveWithCells="1">
              <from>
                <xdr:col>21</xdr:col>
                <xdr:colOff>1104900</xdr:colOff>
                <xdr:row>26</xdr:row>
                <xdr:rowOff>19050</xdr:rowOff>
              </from>
              <to>
                <xdr:col>21</xdr:col>
                <xdr:colOff>1247775</xdr:colOff>
                <xdr:row>26</xdr:row>
                <xdr:rowOff>180975</xdr:rowOff>
              </to>
            </anchor>
          </controlPr>
        </control>
      </mc:Choice>
      <mc:Fallback>
        <control shapeId="7206" r:id="rId50" name="CheckBox4"/>
      </mc:Fallback>
    </mc:AlternateContent>
    <mc:AlternateContent xmlns:mc="http://schemas.openxmlformats.org/markup-compatibility/2006">
      <mc:Choice Requires="x14">
        <control shapeId="7205" r:id="rId52" name="CheckBox3">
          <controlPr autoLine="0" r:id="rId53">
            <anchor moveWithCells="1">
              <from>
                <xdr:col>21</xdr:col>
                <xdr:colOff>1104900</xdr:colOff>
                <xdr:row>25</xdr:row>
                <xdr:rowOff>19050</xdr:rowOff>
              </from>
              <to>
                <xdr:col>21</xdr:col>
                <xdr:colOff>1247775</xdr:colOff>
                <xdr:row>25</xdr:row>
                <xdr:rowOff>180975</xdr:rowOff>
              </to>
            </anchor>
          </controlPr>
        </control>
      </mc:Choice>
      <mc:Fallback>
        <control shapeId="7205" r:id="rId52" name="CheckBox3"/>
      </mc:Fallback>
    </mc:AlternateContent>
    <mc:AlternateContent xmlns:mc="http://schemas.openxmlformats.org/markup-compatibility/2006">
      <mc:Choice Requires="x14">
        <control shapeId="7204" r:id="rId54" name="CheckBox2">
          <controlPr autoLine="0" r:id="rId55">
            <anchor moveWithCells="1">
              <from>
                <xdr:col>21</xdr:col>
                <xdr:colOff>1104900</xdr:colOff>
                <xdr:row>24</xdr:row>
                <xdr:rowOff>19050</xdr:rowOff>
              </from>
              <to>
                <xdr:col>21</xdr:col>
                <xdr:colOff>1238250</xdr:colOff>
                <xdr:row>24</xdr:row>
                <xdr:rowOff>180975</xdr:rowOff>
              </to>
            </anchor>
          </controlPr>
        </control>
      </mc:Choice>
      <mc:Fallback>
        <control shapeId="7204" r:id="rId54" name="CheckBox2"/>
      </mc:Fallback>
    </mc:AlternateContent>
    <mc:AlternateContent xmlns:mc="http://schemas.openxmlformats.org/markup-compatibility/2006">
      <mc:Choice Requires="x14">
        <control shapeId="7203" r:id="rId56" name="CheckBox1">
          <controlPr autoLine="0" r:id="rId57">
            <anchor moveWithCells="1">
              <from>
                <xdr:col>21</xdr:col>
                <xdr:colOff>1104900</xdr:colOff>
                <xdr:row>23</xdr:row>
                <xdr:rowOff>28575</xdr:rowOff>
              </from>
              <to>
                <xdr:col>21</xdr:col>
                <xdr:colOff>1238250</xdr:colOff>
                <xdr:row>24</xdr:row>
                <xdr:rowOff>0</xdr:rowOff>
              </to>
            </anchor>
          </controlPr>
        </control>
      </mc:Choice>
      <mc:Fallback>
        <control shapeId="7203" r:id="rId56" name="CheckBox1"/>
      </mc:Fallback>
    </mc:AlternateContent>
    <mc:AlternateContent xmlns:mc="http://schemas.openxmlformats.org/markup-compatibility/2006">
      <mc:Choice Requires="x14">
        <control shapeId="7169" r:id="rId58" name="Button 1">
          <controlPr defaultSize="0" print="0" autoFill="0" autoPict="0" macro="[0]!Button1_Click">
            <anchor moveWithCells="1" sizeWithCells="1">
              <from>
                <xdr:col>27</xdr:col>
                <xdr:colOff>0</xdr:colOff>
                <xdr:row>3</xdr:row>
                <xdr:rowOff>123825</xdr:rowOff>
              </from>
              <to>
                <xdr:col>29</xdr:col>
                <xdr:colOff>28575</xdr:colOff>
                <xdr:row>8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4" r:id="rId59" name="Button 26">
          <controlPr defaultSize="0" print="0" autoFill="0" autoPict="0" macro="[0]!Button2">
            <anchor moveWithCells="1" sizeWithCells="1">
              <from>
                <xdr:col>26</xdr:col>
                <xdr:colOff>180975</xdr:colOff>
                <xdr:row>9</xdr:row>
                <xdr:rowOff>133350</xdr:rowOff>
              </from>
              <to>
                <xdr:col>29</xdr:col>
                <xdr:colOff>28575</xdr:colOff>
                <xdr:row>14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5" r:id="rId60" name="Button 27">
          <controlPr defaultSize="0" print="0" autoFill="0" autoPict="0" macro="[0]!Button27_Click">
            <anchor moveWithCells="1">
              <from>
                <xdr:col>27</xdr:col>
                <xdr:colOff>28575</xdr:colOff>
                <xdr:row>1</xdr:row>
                <xdr:rowOff>104775</xdr:rowOff>
              </from>
              <to>
                <xdr:col>29</xdr:col>
                <xdr:colOff>28575</xdr:colOff>
                <xdr:row>2</xdr:row>
                <xdr:rowOff>142875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50" id="{ECB47D94-D713-441D-A30B-02E088D3BC6D}">
            <x14:iconSet iconSet="5ArrowsGray" custom="1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  <x14:cfIcon iconSet="3ArrowsGray" iconId="1"/>
              <x14:cfIcon iconSet="3ArrowsGray" iconId="1"/>
              <x14:cfIcon iconSet="3ArrowsGray" iconId="1"/>
              <x14:cfIcon iconSet="3ArrowsGray" iconId="1"/>
              <x14:cfIcon iconSet="3ArrowsGray" iconId="1"/>
            </x14:iconSet>
          </x14:cfRule>
          <xm:sqref>AG22</xm:sqref>
        </x14:conditionalFormatting>
        <x14:conditionalFormatting xmlns:xm="http://schemas.microsoft.com/office/excel/2006/main">
          <x14:cfRule type="iconSet" priority="244" id="{287EF341-7637-EE42-B426-119803C1C112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0"/>
              <x14:cfIcon iconSet="NoIcons" iconId="0"/>
            </x14:iconSet>
          </x14:cfRule>
          <xm:sqref>AE18:AE20</xm:sqref>
        </x14:conditionalFormatting>
        <x14:conditionalFormatting xmlns:xm="http://schemas.microsoft.com/office/excel/2006/main">
          <x14:cfRule type="iconSet" priority="238" id="{2DECB84C-B819-C543-8796-57DDC1FFAC2F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0"/>
              <x14:cfIcon iconSet="3Symbols2" iconId="2"/>
            </x14:iconSet>
          </x14:cfRule>
          <xm:sqref>AD33:AD36</xm:sqref>
        </x14:conditionalFormatting>
        <x14:conditionalFormatting xmlns:xm="http://schemas.microsoft.com/office/excel/2006/main">
          <x14:cfRule type="iconSet" priority="237" id="{D8BE4A0A-A6B9-5944-94AD-E06181F713D6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0"/>
              <x14:cfIcon iconSet="3Symbols2" iconId="2"/>
            </x14:iconSet>
          </x14:cfRule>
          <xm:sqref>AD24:AD26</xm:sqref>
        </x14:conditionalFormatting>
        <x14:conditionalFormatting xmlns:xm="http://schemas.microsoft.com/office/excel/2006/main">
          <x14:cfRule type="iconSet" priority="235" id="{E73E76B6-36DE-CF48-8135-215B4A54D432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0"/>
              <x14:cfIcon iconSet="3Symbols2" iconId="2"/>
            </x14:iconSet>
          </x14:cfRule>
          <xm:sqref>AD64:AD67</xm:sqref>
        </x14:conditionalFormatting>
        <x14:conditionalFormatting xmlns:xm="http://schemas.microsoft.com/office/excel/2006/main">
          <x14:cfRule type="iconSet" priority="231" id="{200D0E22-CC83-7D49-90E0-9251F131BF8E}">
            <x14:iconSet iconSet="5ArrowsGray" custom="1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  <x14:cfIcon iconSet="3ArrowsGray" iconId="1"/>
              <x14:cfIcon iconSet="3ArrowsGray" iconId="1"/>
              <x14:cfIcon iconSet="3ArrowsGray" iconId="1"/>
              <x14:cfIcon iconSet="3ArrowsGray" iconId="1"/>
              <x14:cfIcon iconSet="3ArrowsGray" iconId="1"/>
            </x14:iconSet>
          </x14:cfRule>
          <xm:sqref>AG37</xm:sqref>
        </x14:conditionalFormatting>
        <x14:conditionalFormatting xmlns:xm="http://schemas.microsoft.com/office/excel/2006/main">
          <x14:cfRule type="iconSet" priority="225" id="{3123F220-2609-2D49-B64D-B106C3A4AE4D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2"/>
              <x14:cfIcon iconSet="3Symbols2" iconId="2"/>
            </x14:iconSet>
          </x14:cfRule>
          <xm:sqref>AD18:AD20</xm:sqref>
        </x14:conditionalFormatting>
        <x14:conditionalFormatting xmlns:xm="http://schemas.microsoft.com/office/excel/2006/main">
          <x14:cfRule type="iconSet" priority="224" id="{CEC00BF4-6315-1045-98E7-D0830E578F53}">
            <x14:iconSet iconSet="5ArrowsGray" custom="1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  <x14:cfIcon iconSet="3ArrowsGray" iconId="1"/>
              <x14:cfIcon iconSet="3ArrowsGray" iconId="1"/>
              <x14:cfIcon iconSet="3ArrowsGray" iconId="1"/>
              <x14:cfIcon iconSet="3ArrowsGray" iconId="1"/>
              <x14:cfIcon iconSet="3ArrowsGray" iconId="1"/>
            </x14:iconSet>
          </x14:cfRule>
          <xm:sqref>AD17</xm:sqref>
        </x14:conditionalFormatting>
        <x14:conditionalFormatting xmlns:xm="http://schemas.microsoft.com/office/excel/2006/main">
          <x14:cfRule type="iconSet" priority="223" id="{49B19BF9-5FF4-B74B-B5B2-AB90567FC293}">
            <x14:iconSet iconSet="5ArrowsGray" custom="1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  <x14:cfIcon iconSet="3ArrowsGray" iconId="1"/>
              <x14:cfIcon iconSet="3ArrowsGray" iconId="1"/>
              <x14:cfIcon iconSet="3ArrowsGray" iconId="1"/>
              <x14:cfIcon iconSet="3ArrowsGray" iconId="1"/>
              <x14:cfIcon iconSet="3ArrowsGray" iconId="1"/>
            </x14:iconSet>
          </x14:cfRule>
          <xm:sqref>AE17</xm:sqref>
        </x14:conditionalFormatting>
        <x14:conditionalFormatting xmlns:xm="http://schemas.microsoft.com/office/excel/2006/main">
          <x14:cfRule type="iconSet" priority="222" id="{1571EDC7-0003-424F-8076-CCBE34607B7D}">
            <x14:iconSet iconSet="5ArrowsGray" custom="1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  <x14:cfIcon iconSet="3ArrowsGray" iconId="1"/>
              <x14:cfIcon iconSet="3ArrowsGray" iconId="1"/>
              <x14:cfIcon iconSet="3ArrowsGray" iconId="1"/>
              <x14:cfIcon iconSet="3ArrowsGray" iconId="1"/>
              <x14:cfIcon iconSet="3ArrowsGray" iconId="1"/>
            </x14:iconSet>
          </x14:cfRule>
          <xm:sqref>AF17</xm:sqref>
        </x14:conditionalFormatting>
        <x14:conditionalFormatting xmlns:xm="http://schemas.microsoft.com/office/excel/2006/main">
          <x14:cfRule type="iconSet" priority="221" id="{ADA1B7A4-8B16-2A41-A7A3-383E2E063331}">
            <x14:iconSet iconSet="5ArrowsGray" custom="1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  <x14:cfIcon iconSet="3ArrowsGray" iconId="1"/>
              <x14:cfIcon iconSet="3ArrowsGray" iconId="1"/>
              <x14:cfIcon iconSet="3ArrowsGray" iconId="1"/>
              <x14:cfIcon iconSet="3ArrowsGray" iconId="1"/>
              <x14:cfIcon iconSet="3ArrowsGray" iconId="1"/>
            </x14:iconSet>
          </x14:cfRule>
          <xm:sqref>AD27</xm:sqref>
        </x14:conditionalFormatting>
        <x14:conditionalFormatting xmlns:xm="http://schemas.microsoft.com/office/excel/2006/main">
          <x14:cfRule type="iconSet" priority="220" id="{4332F339-0388-244A-8637-46D81939B200}">
            <x14:iconSet iconSet="5ArrowsGray" custom="1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  <x14:cfIcon iconSet="3ArrowsGray" iconId="1"/>
              <x14:cfIcon iconSet="3ArrowsGray" iconId="1"/>
              <x14:cfIcon iconSet="3ArrowsGray" iconId="1"/>
              <x14:cfIcon iconSet="3ArrowsGray" iconId="1"/>
              <x14:cfIcon iconSet="3ArrowsGray" iconId="1"/>
            </x14:iconSet>
          </x14:cfRule>
          <xm:sqref>AE27</xm:sqref>
        </x14:conditionalFormatting>
        <x14:conditionalFormatting xmlns:xm="http://schemas.microsoft.com/office/excel/2006/main">
          <x14:cfRule type="iconSet" priority="219" id="{A7831E14-665A-6943-A748-42594DD5B804}">
            <x14:iconSet iconSet="5ArrowsGray" custom="1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  <x14:cfIcon iconSet="3ArrowsGray" iconId="1"/>
              <x14:cfIcon iconSet="3ArrowsGray" iconId="1"/>
              <x14:cfIcon iconSet="3ArrowsGray" iconId="1"/>
              <x14:cfIcon iconSet="3ArrowsGray" iconId="1"/>
              <x14:cfIcon iconSet="3ArrowsGray" iconId="1"/>
            </x14:iconSet>
          </x14:cfRule>
          <xm:sqref>AF27</xm:sqref>
        </x14:conditionalFormatting>
        <x14:conditionalFormatting xmlns:xm="http://schemas.microsoft.com/office/excel/2006/main">
          <x14:cfRule type="iconSet" priority="215" id="{231B18F8-86A2-0249-9D2A-3C0568D46DB5}">
            <x14:iconSet iconSet="5ArrowsGray" custom="1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  <x14:cfIcon iconSet="3ArrowsGray" iconId="1"/>
              <x14:cfIcon iconSet="3ArrowsGray" iconId="1"/>
              <x14:cfIcon iconSet="3ArrowsGray" iconId="1"/>
              <x14:cfIcon iconSet="3ArrowsGray" iconId="1"/>
              <x14:cfIcon iconSet="3ArrowsGray" iconId="1"/>
            </x14:iconSet>
          </x14:cfRule>
          <xm:sqref>AG17</xm:sqref>
        </x14:conditionalFormatting>
        <x14:conditionalFormatting xmlns:xm="http://schemas.microsoft.com/office/excel/2006/main">
          <x14:cfRule type="iconSet" priority="214" id="{200D0B2E-E3C7-F74B-8351-4829413B23C7}">
            <x14:iconSet iconSet="5ArrowsGray" custom="1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  <x14:cfIcon iconSet="3ArrowsGray" iconId="1"/>
              <x14:cfIcon iconSet="3ArrowsGray" iconId="1"/>
              <x14:cfIcon iconSet="3ArrowsGray" iconId="1"/>
              <x14:cfIcon iconSet="3ArrowsGray" iconId="1"/>
              <x14:cfIcon iconSet="3ArrowsGray" iconId="1"/>
            </x14:iconSet>
          </x14:cfRule>
          <xm:sqref>AG27</xm:sqref>
        </x14:conditionalFormatting>
        <x14:conditionalFormatting xmlns:xm="http://schemas.microsoft.com/office/excel/2006/main">
          <x14:cfRule type="iconSet" priority="209" id="{B536A70B-0905-6845-89E9-086FCEC530B0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AM27</xm:sqref>
        </x14:conditionalFormatting>
        <x14:conditionalFormatting xmlns:xm="http://schemas.microsoft.com/office/excel/2006/main">
          <x14:cfRule type="iconSet" priority="208" id="{3EE7E8F7-7814-C54C-B480-3E48706DA439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AN27:AP27</xm:sqref>
        </x14:conditionalFormatting>
        <x14:conditionalFormatting xmlns:xm="http://schemas.microsoft.com/office/excel/2006/main">
          <x14:cfRule type="iconSet" priority="207" id="{B8BB92B5-0764-3044-B03F-3685EC5A1763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0"/>
              <x14:cfIcon iconSet="3Symbols2" iconId="2"/>
            </x14:iconSet>
          </x14:cfRule>
          <xm:sqref>AJ29:AJ31</xm:sqref>
        </x14:conditionalFormatting>
        <x14:conditionalFormatting xmlns:xm="http://schemas.microsoft.com/office/excel/2006/main">
          <x14:cfRule type="iconSet" priority="204" id="{B01F7BE6-EEF7-9B44-B573-F59CE8C3860F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2"/>
              <x14:cfIcon iconSet="3Symbols2" iconId="2"/>
            </x14:iconSet>
          </x14:cfRule>
          <xm:sqref>AJ15</xm:sqref>
        </x14:conditionalFormatting>
        <x14:conditionalFormatting xmlns:xm="http://schemas.microsoft.com/office/excel/2006/main">
          <x14:cfRule type="iconSet" priority="203" id="{02900CEE-3FCB-B046-80B3-4348918810DF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2"/>
              <x14:cfIcon iconSet="3Symbols2" iconId="2"/>
            </x14:iconSet>
          </x14:cfRule>
          <xm:sqref>AJ13:AJ14</xm:sqref>
        </x14:conditionalFormatting>
        <x14:conditionalFormatting xmlns:xm="http://schemas.microsoft.com/office/excel/2006/main">
          <x14:cfRule type="iconSet" priority="201" id="{9E35F439-AB5D-154D-8446-65966A784B98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AM17</xm:sqref>
        </x14:conditionalFormatting>
        <x14:conditionalFormatting xmlns:xm="http://schemas.microsoft.com/office/excel/2006/main">
          <x14:cfRule type="iconSet" priority="200" id="{E2EFB5E4-4B50-AC4B-949C-94CBB62E6D18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AN17:AP17</xm:sqref>
        </x14:conditionalFormatting>
        <x14:conditionalFormatting xmlns:xm="http://schemas.microsoft.com/office/excel/2006/main">
          <x14:cfRule type="iconSet" priority="198" id="{3472A5FD-1338-8C47-A760-297809E241EC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2"/>
              <x14:cfIcon iconSet="3Symbols2" iconId="2"/>
            </x14:iconSet>
          </x14:cfRule>
          <xm:sqref>AJ9</xm:sqref>
        </x14:conditionalFormatting>
        <x14:conditionalFormatting xmlns:xm="http://schemas.microsoft.com/office/excel/2006/main">
          <x14:cfRule type="iconSet" priority="197" id="{92106E6E-0431-B741-8D77-D28508A1CB4A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2"/>
              <x14:cfIcon iconSet="3Symbols2" iconId="2"/>
            </x14:iconSet>
          </x14:cfRule>
          <xm:sqref>AJ7:AJ8</xm:sqref>
        </x14:conditionalFormatting>
        <x14:conditionalFormatting xmlns:xm="http://schemas.microsoft.com/office/excel/2006/main">
          <x14:cfRule type="iconSet" priority="195" id="{99BBE70E-F1CB-2B4E-AB16-530F612D2D3F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2"/>
              <x14:cfIcon iconSet="3Symbols2" iconId="2"/>
            </x14:iconSet>
          </x14:cfRule>
          <xm:sqref>AJ3</xm:sqref>
        </x14:conditionalFormatting>
        <x14:conditionalFormatting xmlns:xm="http://schemas.microsoft.com/office/excel/2006/main">
          <x14:cfRule type="iconSet" priority="194" id="{3BD6D614-1AD5-1141-B83C-764123C03A77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AM11</xm:sqref>
        </x14:conditionalFormatting>
        <x14:conditionalFormatting xmlns:xm="http://schemas.microsoft.com/office/excel/2006/main">
          <x14:cfRule type="iconSet" priority="193" id="{33A86E90-6681-3F4F-805C-77842F400A52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AM5</xm:sqref>
        </x14:conditionalFormatting>
        <x14:conditionalFormatting xmlns:xm="http://schemas.microsoft.com/office/excel/2006/main">
          <x14:cfRule type="iconSet" priority="192" id="{27F13A47-0E6E-9141-848A-1D098867520E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AG11</xm:sqref>
        </x14:conditionalFormatting>
        <x14:conditionalFormatting xmlns:xm="http://schemas.microsoft.com/office/excel/2006/main">
          <x14:cfRule type="iconSet" priority="190" id="{76097071-757E-2A48-ABDD-F7BFD616E6D1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2"/>
              <x14:cfIcon iconSet="3Symbols2" iconId="2"/>
            </x14:iconSet>
          </x14:cfRule>
          <xm:sqref>AS9</xm:sqref>
        </x14:conditionalFormatting>
        <x14:conditionalFormatting xmlns:xm="http://schemas.microsoft.com/office/excel/2006/main">
          <x14:cfRule type="iconSet" priority="189" id="{6CB41A94-A39E-6C4A-A3AB-0B184104C8E8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AV11</xm:sqref>
        </x14:conditionalFormatting>
        <x14:conditionalFormatting xmlns:xm="http://schemas.microsoft.com/office/excel/2006/main">
          <x14:cfRule type="iconSet" priority="188" id="{735F1C73-AEDB-5B40-84D3-F826F1D802EF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AV17</xm:sqref>
        </x14:conditionalFormatting>
        <x14:conditionalFormatting xmlns:xm="http://schemas.microsoft.com/office/excel/2006/main">
          <x14:cfRule type="iconSet" priority="187" id="{70B5419F-95EF-7844-BF0D-F186F27F842E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AW17:AY17</xm:sqref>
        </x14:conditionalFormatting>
        <x14:conditionalFormatting xmlns:xm="http://schemas.microsoft.com/office/excel/2006/main">
          <x14:cfRule type="iconSet" priority="186" id="{E61931D4-34E7-5546-B728-F9E852399287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0"/>
              <x14:cfIcon iconSet="3Symbols2" iconId="2"/>
            </x14:iconSet>
          </x14:cfRule>
          <xm:sqref>AS19:AS21</xm:sqref>
        </x14:conditionalFormatting>
        <x14:conditionalFormatting xmlns:xm="http://schemas.microsoft.com/office/excel/2006/main">
          <x14:cfRule type="iconSet" priority="184" id="{EC3F0BE8-CEEE-E946-B9FA-EDB3738027C5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AV23</xm:sqref>
        </x14:conditionalFormatting>
        <x14:conditionalFormatting xmlns:xm="http://schemas.microsoft.com/office/excel/2006/main">
          <x14:cfRule type="iconSet" priority="182" id="{C56398CA-0FD1-694C-99F2-0065715A7794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AN11:AO11</xm:sqref>
        </x14:conditionalFormatting>
        <x14:conditionalFormatting xmlns:xm="http://schemas.microsoft.com/office/excel/2006/main">
          <x14:cfRule type="iconSet" priority="180" id="{DDF9D145-4828-C546-AA37-C2BB0252E01B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BE17</xm:sqref>
        </x14:conditionalFormatting>
        <x14:conditionalFormatting xmlns:xm="http://schemas.microsoft.com/office/excel/2006/main">
          <x14:cfRule type="iconSet" priority="179" id="{47667065-2F62-0745-B5ED-EBBBF2421505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2"/>
              <x14:cfIcon iconSet="3Symbols2" iconId="2"/>
            </x14:iconSet>
          </x14:cfRule>
          <xm:sqref>BB15</xm:sqref>
        </x14:conditionalFormatting>
        <x14:conditionalFormatting xmlns:xm="http://schemas.microsoft.com/office/excel/2006/main">
          <x14:cfRule type="iconSet" priority="177" id="{0A15CBEA-218F-B342-82A5-8C69AADCB2B2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2"/>
              <x14:cfIcon iconSet="3Symbols2" iconId="2"/>
            </x14:iconSet>
          </x14:cfRule>
          <xm:sqref>AS15</xm:sqref>
        </x14:conditionalFormatting>
        <x14:conditionalFormatting xmlns:xm="http://schemas.microsoft.com/office/excel/2006/main">
          <x14:cfRule type="iconSet" priority="176" id="{B7750150-01AD-DD40-81D5-1CC861126C62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2"/>
              <x14:cfIcon iconSet="3Symbols2" iconId="2"/>
            </x14:iconSet>
          </x14:cfRule>
          <xm:sqref>AS13:AS14</xm:sqref>
        </x14:conditionalFormatting>
        <x14:conditionalFormatting xmlns:xm="http://schemas.microsoft.com/office/excel/2006/main">
          <x14:cfRule type="iconSet" priority="175" id="{43DA9790-90C7-AA48-9F75-F8AF97C9E3B9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2"/>
              <x14:cfIcon iconSet="3Symbols2" iconId="2"/>
            </x14:iconSet>
          </x14:cfRule>
          <xm:sqref>AP8:AP10</xm:sqref>
        </x14:conditionalFormatting>
        <x14:conditionalFormatting xmlns:xm="http://schemas.microsoft.com/office/excel/2006/main">
          <x14:cfRule type="iconSet" priority="173" id="{7F3F9597-2CAA-5344-97F8-633F92AC0B50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2"/>
              <x14:cfIcon iconSet="3Symbols2" iconId="2"/>
            </x14:iconSet>
          </x14:cfRule>
          <xm:sqref>AP11</xm:sqref>
        </x14:conditionalFormatting>
        <x14:conditionalFormatting xmlns:xm="http://schemas.microsoft.com/office/excel/2006/main">
          <x14:cfRule type="iconSet" priority="172" id="{2FE3B549-1B2B-1B48-BB7B-6BA36E61DADE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AS6</xm:sqref>
        </x14:conditionalFormatting>
        <x14:conditionalFormatting xmlns:xm="http://schemas.microsoft.com/office/excel/2006/main">
          <x14:cfRule type="iconSet" priority="171" id="{AC41ABBC-4F1F-F54E-A3BE-0B298BF990EB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0"/>
              <x14:cfIcon iconSet="3Symbols2" iconId="2"/>
            </x14:iconSet>
          </x14:cfRule>
          <xm:sqref>AJ35:AJ37</xm:sqref>
        </x14:conditionalFormatting>
        <x14:conditionalFormatting xmlns:xm="http://schemas.microsoft.com/office/excel/2006/main">
          <x14:cfRule type="iconSet" priority="169" id="{B04398C3-5745-B548-9329-95D86C1E912F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0"/>
              <x14:cfIcon iconSet="3Symbols2" iconId="2"/>
            </x14:iconSet>
          </x14:cfRule>
          <xm:sqref>AJ41</xm:sqref>
        </x14:conditionalFormatting>
        <x14:conditionalFormatting xmlns:xm="http://schemas.microsoft.com/office/excel/2006/main">
          <x14:cfRule type="iconSet" priority="168" id="{500C7891-D593-544E-853F-6000D84C3F10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AM39</xm:sqref>
        </x14:conditionalFormatting>
        <x14:conditionalFormatting xmlns:xm="http://schemas.microsoft.com/office/excel/2006/main">
          <x14:cfRule type="iconSet" priority="167" id="{8B2D0750-1DCA-0E42-B5D3-91411563E382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AM33</xm:sqref>
        </x14:conditionalFormatting>
        <x14:conditionalFormatting xmlns:xm="http://schemas.microsoft.com/office/excel/2006/main">
          <x14:cfRule type="iconSet" priority="166" id="{B11F16DE-02D5-9444-A4D4-C03273A2637A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AN33:AO33</xm:sqref>
        </x14:conditionalFormatting>
        <x14:conditionalFormatting xmlns:xm="http://schemas.microsoft.com/office/excel/2006/main">
          <x14:cfRule type="iconSet" priority="165" id="{2E945F8F-A020-D34A-9CA7-F08A0726B8E0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0"/>
              <x14:cfIcon iconSet="3Symbols2" iconId="2"/>
            </x14:iconSet>
          </x14:cfRule>
          <xm:sqref>AP33:AP35</xm:sqref>
        </x14:conditionalFormatting>
        <x14:conditionalFormatting xmlns:xm="http://schemas.microsoft.com/office/excel/2006/main">
          <x14:cfRule type="iconSet" priority="164" id="{F0EEFF7C-4AA5-234F-8B56-A8E33E2FA0E0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0"/>
              <x14:cfIcon iconSet="3Symbols2" iconId="2"/>
            </x14:iconSet>
          </x14:cfRule>
          <xm:sqref>AP36</xm:sqref>
        </x14:conditionalFormatting>
        <x14:conditionalFormatting xmlns:xm="http://schemas.microsoft.com/office/excel/2006/main">
          <x14:cfRule type="iconSet" priority="162" id="{ED73EC00-B24A-DF4E-A4AA-6178AB077AB6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2"/>
              <x14:cfIcon iconSet="3Symbols2" iconId="2"/>
            </x14:iconSet>
          </x14:cfRule>
          <xm:sqref>AP4</xm:sqref>
        </x14:conditionalFormatting>
        <x14:conditionalFormatting xmlns:xm="http://schemas.microsoft.com/office/excel/2006/main">
          <x14:cfRule type="iconSet" priority="161" id="{3DF9175E-205D-B245-B508-887E883E688C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0"/>
              <x14:cfIcon iconSet="3Symbols2" iconId="2"/>
            </x14:iconSet>
          </x14:cfRule>
          <xm:sqref>AP40</xm:sqref>
        </x14:conditionalFormatting>
        <x14:conditionalFormatting xmlns:xm="http://schemas.microsoft.com/office/excel/2006/main">
          <x14:cfRule type="iconSet" priority="160" id="{CAE21E40-7402-1949-AB5C-9CF82A2A7524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AS38</xm:sqref>
        </x14:conditionalFormatting>
        <x14:conditionalFormatting xmlns:xm="http://schemas.microsoft.com/office/excel/2006/main">
          <x14:cfRule type="iconSet" priority="159" id="{602C69BF-CCF2-B644-BDEC-FED1FFE76C9D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0"/>
              <x14:cfIcon iconSet="3Symbols2" iconId="2"/>
            </x14:iconSet>
          </x14:cfRule>
          <xm:sqref>AS29:AS31</xm:sqref>
        </x14:conditionalFormatting>
        <x14:conditionalFormatting xmlns:xm="http://schemas.microsoft.com/office/excel/2006/main">
          <x14:cfRule type="iconSet" priority="157" id="{76826FAD-3336-4C4F-A6D7-39A3BFAD151F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0"/>
              <x14:cfIcon iconSet="3Symbols2" iconId="2"/>
            </x14:iconSet>
          </x14:cfRule>
          <xm:sqref>AS35</xm:sqref>
        </x14:conditionalFormatting>
        <x14:conditionalFormatting xmlns:xm="http://schemas.microsoft.com/office/excel/2006/main">
          <x14:cfRule type="iconSet" priority="156" id="{04FBF442-59BF-B14E-9ACE-1E77677C377F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AV33</xm:sqref>
        </x14:conditionalFormatting>
        <x14:conditionalFormatting xmlns:xm="http://schemas.microsoft.com/office/excel/2006/main">
          <x14:cfRule type="iconSet" priority="155" id="{FA1D3B7F-9DFB-824F-B1A6-E62A9C71810E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AV27</xm:sqref>
        </x14:conditionalFormatting>
        <x14:conditionalFormatting xmlns:xm="http://schemas.microsoft.com/office/excel/2006/main">
          <x14:cfRule type="iconSet" priority="154" id="{3A6384AA-57A5-CB48-8DEE-94FD5755DB6E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AW27:AY27</xm:sqref>
        </x14:conditionalFormatting>
        <x14:conditionalFormatting xmlns:xm="http://schemas.microsoft.com/office/excel/2006/main">
          <x14:cfRule type="iconSet" priority="152" id="{1024B7A4-4EA5-D946-BF1B-ADEA051E489F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BE27</xm:sqref>
        </x14:conditionalFormatting>
        <x14:conditionalFormatting xmlns:xm="http://schemas.microsoft.com/office/excel/2006/main">
          <x14:cfRule type="iconSet" priority="150" id="{33616810-9886-6542-B6C2-3F488C05DDAA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0"/>
              <x14:cfIcon iconSet="3Symbols2" iconId="2"/>
            </x14:iconSet>
          </x14:cfRule>
          <xm:sqref>BB29</xm:sqref>
        </x14:conditionalFormatting>
        <x14:conditionalFormatting xmlns:xm="http://schemas.microsoft.com/office/excel/2006/main">
          <x14:cfRule type="iconSet" priority="149" id="{582D3F3C-9BF0-D848-86EA-366E05B2BC21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0"/>
              <x14:cfIcon iconSet="NoIcons" iconId="0"/>
            </x14:iconSet>
          </x14:cfRule>
          <xm:sqref>AK13</xm:sqref>
        </x14:conditionalFormatting>
        <x14:conditionalFormatting xmlns:xm="http://schemas.microsoft.com/office/excel/2006/main">
          <x14:cfRule type="iconSet" priority="78" id="{0D07AB2C-0341-8F45-B5BA-74A0BEA2D006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AD17</xm:sqref>
        </x14:conditionalFormatting>
        <x14:conditionalFormatting xmlns:xm="http://schemas.microsoft.com/office/excel/2006/main">
          <x14:cfRule type="iconSet" priority="77" id="{2650D3A7-B0E2-DB4A-BA65-7DC5BB4D0123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AE17</xm:sqref>
        </x14:conditionalFormatting>
        <x14:conditionalFormatting xmlns:xm="http://schemas.microsoft.com/office/excel/2006/main">
          <x14:cfRule type="iconSet" priority="76" id="{32764ED6-472B-1246-A565-5202F4DDAD4E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AF17</xm:sqref>
        </x14:conditionalFormatting>
        <x14:conditionalFormatting xmlns:xm="http://schemas.microsoft.com/office/excel/2006/main">
          <x14:cfRule type="iconSet" priority="75" id="{AFF0E305-9EA8-B848-B18A-D256DB077A28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AG17</xm:sqref>
        </x14:conditionalFormatting>
        <x14:conditionalFormatting xmlns:xm="http://schemas.microsoft.com/office/excel/2006/main">
          <x14:cfRule type="iconSet" priority="74" id="{53027333-4A41-8949-9C95-1ECCCDF99A48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AD27</xm:sqref>
        </x14:conditionalFormatting>
        <x14:conditionalFormatting xmlns:xm="http://schemas.microsoft.com/office/excel/2006/main">
          <x14:cfRule type="iconSet" priority="73" id="{0B859A1E-94A5-434D-B7C3-9EA567560909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AE27</xm:sqref>
        </x14:conditionalFormatting>
        <x14:conditionalFormatting xmlns:xm="http://schemas.microsoft.com/office/excel/2006/main">
          <x14:cfRule type="iconSet" priority="72" id="{C3C05B4D-4EF7-EA44-9AEC-D954C8E110C6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AF27</xm:sqref>
        </x14:conditionalFormatting>
        <x14:conditionalFormatting xmlns:xm="http://schemas.microsoft.com/office/excel/2006/main">
          <x14:cfRule type="iconSet" priority="71" id="{884A63DD-9BAB-C349-8DBD-16D05DF4C251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AG27</xm:sqref>
        </x14:conditionalFormatting>
        <x14:conditionalFormatting xmlns:xm="http://schemas.microsoft.com/office/excel/2006/main">
          <x14:cfRule type="iconSet" priority="70" id="{01EE2137-52C3-CC43-AEDA-199FB9894281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0"/>
              <x14:cfIcon iconSet="3Symbols2" iconId="2"/>
            </x14:iconSet>
          </x14:cfRule>
          <xm:sqref>AS38</xm:sqref>
        </x14:conditionalFormatting>
        <x14:conditionalFormatting xmlns:xm="http://schemas.microsoft.com/office/excel/2006/main">
          <x14:cfRule type="iconSet" priority="69" id="{C63D65B9-6BC5-3D4B-9C39-9162AB64433C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0"/>
              <x14:cfIcon iconSet="3Symbols2" iconId="2"/>
            </x14:iconSet>
          </x14:cfRule>
          <xm:sqref>AS35</xm:sqref>
        </x14:conditionalFormatting>
        <x14:conditionalFormatting xmlns:xm="http://schemas.microsoft.com/office/excel/2006/main">
          <x14:cfRule type="iconSet" priority="68" id="{8EE5ABEE-DDD8-924E-A91F-BD4740B1D2B3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AM17</xm:sqref>
        </x14:conditionalFormatting>
        <x14:conditionalFormatting xmlns:xm="http://schemas.microsoft.com/office/excel/2006/main">
          <x14:cfRule type="iconSet" priority="40" id="{3D9F73F6-5137-4359-BEB3-015F732E5D8F}">
            <x14:iconSet iconSet="5ArrowsGray" custom="1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  <x14:cfIcon iconSet="3ArrowsGray" iconId="1"/>
              <x14:cfIcon iconSet="3ArrowsGray" iconId="1"/>
              <x14:cfIcon iconSet="3ArrowsGray" iconId="1"/>
              <x14:cfIcon iconSet="3ArrowsGray" iconId="1"/>
              <x14:cfIcon iconSet="3ArrowsGray" iconId="1"/>
            </x14:iconSet>
          </x14:cfRule>
          <xm:sqref>AA22</xm:sqref>
        </x14:conditionalFormatting>
        <x14:conditionalFormatting xmlns:xm="http://schemas.microsoft.com/office/excel/2006/main">
          <x14:cfRule type="iconSet" priority="39" id="{35C0DC15-FF34-4F48-ADC4-E4B0CB199DF5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AA22</xm:sqref>
        </x14:conditionalFormatting>
        <x14:conditionalFormatting xmlns:xm="http://schemas.microsoft.com/office/excel/2006/main">
          <x14:cfRule type="iconSet" priority="36" id="{403A85EB-F326-44EA-895E-7FA77B405615}">
            <x14:iconSet iconSet="5ArrowsGray" custom="1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  <x14:cfIcon iconSet="3ArrowsGray" iconId="1"/>
              <x14:cfIcon iconSet="3ArrowsGray" iconId="1"/>
              <x14:cfIcon iconSet="3ArrowsGray" iconId="1"/>
              <x14:cfIcon iconSet="3ArrowsGray" iconId="1"/>
              <x14:cfIcon iconSet="3ArrowsGray" iconId="1"/>
            </x14:iconSet>
          </x14:cfRule>
          <xm:sqref>BA4</xm:sqref>
        </x14:conditionalFormatting>
        <x14:conditionalFormatting xmlns:xm="http://schemas.microsoft.com/office/excel/2006/main">
          <x14:cfRule type="iconSet" priority="35" id="{905EC7B7-2DA3-4FE4-BE03-8220BD6C6B12}">
            <x14:iconSet iconSet="3ArrowsGray" custom="1">
              <x14:cfvo type="percent">
                <xm:f>0</xm:f>
              </x14:cfvo>
              <x14:cfvo type="num" gte="0">
                <xm:f>0.9</xm:f>
              </x14:cfvo>
              <x14:cfvo type="num" gte="0">
                <xm:f>1.1000000000000001</xm:f>
              </x14:cfvo>
              <x14:cfIcon iconSet="NoIcons" iconId="0"/>
              <x14:cfIcon iconSet="3ArrowsGray" iconId="1"/>
              <x14:cfIcon iconSet="3Symbols2" iconId="2"/>
            </x14:iconSet>
          </x14:cfRule>
          <xm:sqref>BA4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93"/>
  <sheetViews>
    <sheetView zoomScale="115" zoomScaleNormal="115" workbookViewId="0">
      <selection activeCell="J1" sqref="J1"/>
    </sheetView>
  </sheetViews>
  <sheetFormatPr defaultRowHeight="15"/>
  <cols>
    <col min="1" max="1" width="9.140625" style="4"/>
    <col min="2" max="2" width="4.85546875" style="4" customWidth="1"/>
    <col min="3" max="3" width="16.28515625" customWidth="1"/>
    <col min="4" max="4" width="13.28515625" customWidth="1"/>
    <col min="5" max="5" width="13.7109375" customWidth="1"/>
    <col min="6" max="6" width="13.28515625" customWidth="1"/>
    <col min="7" max="7" width="10.7109375" customWidth="1"/>
    <col min="8" max="8" width="12.42578125" customWidth="1"/>
    <col min="9" max="9" width="10.85546875" customWidth="1"/>
    <col min="10" max="10" width="10.140625" customWidth="1"/>
    <col min="11" max="11" width="10.5703125" customWidth="1"/>
    <col min="12" max="12" width="10" customWidth="1"/>
    <col min="13" max="13" width="11.7109375" customWidth="1"/>
    <col min="14" max="14" width="13" customWidth="1"/>
    <col min="15" max="15" width="11.7109375" customWidth="1"/>
    <col min="16" max="16" width="12.42578125" customWidth="1"/>
    <col min="17" max="17" width="11.85546875" customWidth="1"/>
    <col min="18" max="18" width="10.42578125" customWidth="1"/>
    <col min="19" max="19" width="6.85546875" customWidth="1"/>
    <col min="20" max="20" width="10.28515625" style="4" customWidth="1"/>
    <col min="21" max="21" width="11.85546875" style="4" customWidth="1"/>
    <col min="22" max="22" width="11.7109375" style="4" customWidth="1"/>
    <col min="23" max="23" width="10.42578125" style="4" customWidth="1"/>
    <col min="24" max="24" width="12" style="4" customWidth="1"/>
    <col min="25" max="25" width="10.140625" style="4" customWidth="1"/>
    <col min="26" max="26" width="9.28515625" style="4" customWidth="1"/>
    <col min="27" max="27" width="8.5703125" style="4" customWidth="1"/>
    <col min="28" max="28" width="8" style="4" customWidth="1"/>
    <col min="29" max="29" width="10" style="4" customWidth="1"/>
    <col min="30" max="30" width="6.140625" style="4" customWidth="1"/>
    <col min="31" max="31" width="9.28515625" style="4" customWidth="1"/>
    <col min="32" max="39" width="9.140625" style="4"/>
  </cols>
  <sheetData>
    <row r="1" spans="1:40" s="4" customFormat="1">
      <c r="J1" s="92" t="s">
        <v>241</v>
      </c>
    </row>
    <row r="2" spans="1:40">
      <c r="C2" s="80" t="s">
        <v>180</v>
      </c>
      <c r="D2" s="81"/>
      <c r="E2" s="81"/>
      <c r="F2" s="82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3" spans="1:40" ht="30">
      <c r="C3" s="57" t="s">
        <v>70</v>
      </c>
      <c r="D3" s="57" t="s">
        <v>76</v>
      </c>
      <c r="E3" s="58" t="s">
        <v>218</v>
      </c>
      <c r="F3" s="58" t="s">
        <v>219</v>
      </c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</row>
    <row r="4" spans="1:40" ht="15.75" customHeight="1">
      <c r="C4" s="45">
        <v>0.1</v>
      </c>
      <c r="D4" s="45">
        <v>10</v>
      </c>
      <c r="E4" s="45">
        <v>5</v>
      </c>
      <c r="F4" s="45">
        <v>1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40"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</row>
    <row r="6" spans="1:40">
      <c r="A6" s="22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</row>
    <row r="7" spans="1:40">
      <c r="C7" s="84" t="s">
        <v>224</v>
      </c>
      <c r="D7" s="84"/>
      <c r="E7" s="84"/>
      <c r="F7" s="84"/>
      <c r="G7" s="84"/>
      <c r="H7" s="84"/>
      <c r="I7" s="84"/>
      <c r="J7" s="4"/>
      <c r="K7" s="84" t="s">
        <v>231</v>
      </c>
      <c r="L7" s="84"/>
      <c r="M7" s="84"/>
      <c r="N7" s="84"/>
      <c r="O7" s="84"/>
      <c r="P7" s="84"/>
      <c r="Q7" s="84"/>
      <c r="R7" s="84"/>
      <c r="S7" s="4"/>
    </row>
    <row r="8" spans="1:40" ht="30">
      <c r="C8" s="58" t="s">
        <v>52</v>
      </c>
      <c r="D8" s="58" t="s">
        <v>73</v>
      </c>
      <c r="E8" s="58" t="s">
        <v>67</v>
      </c>
      <c r="F8" s="58" t="s">
        <v>220</v>
      </c>
      <c r="G8" s="58" t="s">
        <v>221</v>
      </c>
      <c r="H8" s="58" t="s">
        <v>68</v>
      </c>
      <c r="I8" s="58" t="s">
        <v>69</v>
      </c>
      <c r="J8" s="4"/>
      <c r="K8" s="57" t="s">
        <v>52</v>
      </c>
      <c r="L8" s="58" t="s">
        <v>72</v>
      </c>
      <c r="M8" s="57" t="s">
        <v>75</v>
      </c>
      <c r="N8" s="57" t="s">
        <v>136</v>
      </c>
      <c r="O8" s="57" t="s">
        <v>71</v>
      </c>
      <c r="P8" s="57" t="s">
        <v>222</v>
      </c>
      <c r="Q8" s="57" t="s">
        <v>223</v>
      </c>
      <c r="R8" s="57" t="s">
        <v>74</v>
      </c>
      <c r="S8" s="4"/>
    </row>
    <row r="9" spans="1:40">
      <c r="C9" s="45">
        <v>1</v>
      </c>
      <c r="D9" s="59">
        <f>(7+9+9)/3</f>
        <v>8.3333333333333339</v>
      </c>
      <c r="E9" s="45">
        <f>-535*24*365*0.0028</f>
        <v>-13122.48</v>
      </c>
      <c r="F9" s="45">
        <v>-277600</v>
      </c>
      <c r="G9" s="45">
        <v>-255800</v>
      </c>
      <c r="H9" s="45">
        <v>6916621</v>
      </c>
      <c r="I9" s="45">
        <f>SUM(E9:H9)</f>
        <v>6370098.5199999996</v>
      </c>
      <c r="J9" s="4"/>
      <c r="K9" s="46">
        <v>1</v>
      </c>
      <c r="L9" s="46">
        <f>ROUND(I9*((1-(1+$C$4)^-$D$4)/$C$4),-3)</f>
        <v>39141000</v>
      </c>
      <c r="M9" s="50">
        <f>ROUND(SUM(P16:P19)*-1000000,-3)</f>
        <v>-8203000</v>
      </c>
      <c r="N9" s="50">
        <f>ROUND(M9+IF(D9=9,0,M9*10-M9*10*(0.0171*D9^2-0.0433*D9+0.0353)),-3)-M9</f>
        <v>-11323000</v>
      </c>
      <c r="O9" s="62">
        <f>ROUND(N9+M9+L9,-3)</f>
        <v>19615000</v>
      </c>
      <c r="P9" s="65">
        <f>(N9*-1+M9*-1)/(L9/D4)</f>
        <v>4.9886308474489667</v>
      </c>
      <c r="Q9" s="63">
        <f>O9/(N9*-1+M9*-1)</f>
        <v>1.0045580251971731</v>
      </c>
      <c r="R9" s="46" t="str">
        <f>IF(L9=0,0,IF(-(O9-$E$4)&gt;(M9+N9),"No","Yes"))</f>
        <v>Yes</v>
      </c>
      <c r="S9" s="4"/>
    </row>
    <row r="10" spans="1:40">
      <c r="C10" s="45">
        <v>2</v>
      </c>
      <c r="D10" s="45">
        <v>9</v>
      </c>
      <c r="E10" s="45">
        <f>-24*365*170*0.0028</f>
        <v>-4169.76</v>
      </c>
      <c r="F10" s="45">
        <f>-310300-308600</f>
        <v>-618900</v>
      </c>
      <c r="G10" s="45">
        <v>-3808</v>
      </c>
      <c r="H10" s="45">
        <v>1846000</v>
      </c>
      <c r="I10" s="45">
        <f>SUM(E10:H10)</f>
        <v>1219122.24</v>
      </c>
      <c r="J10" s="4"/>
      <c r="K10" s="46">
        <v>2</v>
      </c>
      <c r="L10" s="46">
        <f>ROUND(I10*((1-(1+$C$4)^-$D$4)/$C$4),-3)</f>
        <v>7491000</v>
      </c>
      <c r="M10" s="50">
        <f>ROUND(SUM(P24:P27)*-1000000,-3)</f>
        <v>-7790000</v>
      </c>
      <c r="N10" s="46">
        <f>ROUND(M10+IF(D10=9,0,M10*10-M10*10*(0.0171*D10^2-0.0433*D10+0.0353)),-3)-M10</f>
        <v>0</v>
      </c>
      <c r="O10" s="62">
        <f>ROUND(N10+M10+L10,-3)</f>
        <v>-299000</v>
      </c>
      <c r="P10" s="66" t="s">
        <v>234</v>
      </c>
      <c r="Q10" s="63">
        <f>O10/(N10*-1+M10*-1)</f>
        <v>-3.8382541720154047E-2</v>
      </c>
      <c r="R10" s="46" t="str">
        <f>IF(L10=0,0,IF(-(O10-$E$4)&gt;(M10+N10),"No","Yes"))</f>
        <v>No</v>
      </c>
      <c r="S10" s="4"/>
    </row>
    <row r="11" spans="1:40">
      <c r="C11" s="45">
        <v>3</v>
      </c>
      <c r="D11" s="45"/>
      <c r="E11" s="45"/>
      <c r="F11" s="45"/>
      <c r="G11" s="45"/>
      <c r="H11" s="45"/>
      <c r="I11" s="45"/>
      <c r="J11" s="4"/>
      <c r="K11" s="46">
        <v>3</v>
      </c>
      <c r="L11" s="46">
        <f>I11*((1-(1-$C$4)^$D$4)/$C$4)</f>
        <v>0</v>
      </c>
      <c r="M11" s="46">
        <v>0</v>
      </c>
      <c r="N11" s="46">
        <f>ROUND(M11+IF(D11=9,0,M11*10-M11*10*(0.0171*D11^2-0.0433*D11+0.0353)),-3)-M11</f>
        <v>0</v>
      </c>
      <c r="O11" s="46">
        <f>ROUND(N11+M11+L11,-3)</f>
        <v>0</v>
      </c>
      <c r="P11" s="64"/>
      <c r="Q11" s="46"/>
      <c r="R11" s="46">
        <f>IF(L11=0,0,IF(-(O11-$E$4)&gt;(M11+N11),"No","Yes"))</f>
        <v>0</v>
      </c>
      <c r="S11" s="4"/>
    </row>
    <row r="12" spans="1:40">
      <c r="C12" s="45">
        <v>4</v>
      </c>
      <c r="D12" s="45"/>
      <c r="E12" s="45"/>
      <c r="F12" s="45"/>
      <c r="G12" s="45"/>
      <c r="H12" s="45"/>
      <c r="I12" s="45"/>
      <c r="J12" s="4"/>
      <c r="K12" s="46">
        <v>4</v>
      </c>
      <c r="L12" s="46">
        <f>I12*((1-(1-$C$4)^$D$4)/$C$4)</f>
        <v>0</v>
      </c>
      <c r="M12" s="46">
        <v>0</v>
      </c>
      <c r="N12" s="46">
        <f>ROUND(M12+IF(D12=9,0,M12*10-M12*10*(0.0171*D12^2-0.0433*D12+0.0353)),-3)-M12</f>
        <v>0</v>
      </c>
      <c r="O12" s="46">
        <f>ROUND(N12+M12+L12,-3)</f>
        <v>0</v>
      </c>
      <c r="P12" s="46"/>
      <c r="Q12" s="46"/>
      <c r="R12" s="46">
        <f>IF(L12=0,0,IF(-(O12-$E$4)&gt;(M12+N12),"No","Yes"))</f>
        <v>0</v>
      </c>
      <c r="S12" s="4"/>
    </row>
    <row r="13" spans="1:40" ht="26.25" customHeight="1">
      <c r="C13" s="4"/>
      <c r="D13" s="22"/>
      <c r="E13" s="22"/>
      <c r="F13" s="4"/>
      <c r="G13" s="4"/>
      <c r="H13" s="4"/>
      <c r="I13" s="22"/>
      <c r="J13" s="4"/>
      <c r="K13" s="4"/>
      <c r="L13" s="4"/>
      <c r="M13" s="4"/>
      <c r="N13" s="4"/>
      <c r="O13" s="4"/>
      <c r="P13" s="4"/>
      <c r="Q13" s="4"/>
      <c r="R13" s="4"/>
      <c r="S13" s="4"/>
    </row>
    <row r="14" spans="1:40" ht="17.25" customHeight="1">
      <c r="C14" s="84" t="s">
        <v>227</v>
      </c>
      <c r="D14" s="84"/>
      <c r="E14" s="80" t="s">
        <v>225</v>
      </c>
      <c r="F14" s="81"/>
      <c r="G14" s="81"/>
      <c r="H14" s="81"/>
      <c r="I14" s="81"/>
      <c r="J14" s="81"/>
      <c r="K14" s="81"/>
      <c r="L14" s="81"/>
      <c r="M14" s="81"/>
      <c r="N14" s="82"/>
      <c r="O14" s="83" t="s">
        <v>226</v>
      </c>
      <c r="P14" s="83"/>
      <c r="Q14" s="83" t="s">
        <v>237</v>
      </c>
      <c r="R14" s="83"/>
      <c r="S14" s="4"/>
    </row>
    <row r="15" spans="1:40" ht="35.25" customHeight="1">
      <c r="C15" s="57" t="s">
        <v>137</v>
      </c>
      <c r="D15" s="57" t="s">
        <v>73</v>
      </c>
      <c r="E15" s="58" t="s">
        <v>138</v>
      </c>
      <c r="F15" s="58" t="s">
        <v>139</v>
      </c>
      <c r="G15" s="58" t="s">
        <v>140</v>
      </c>
      <c r="H15" s="58" t="s">
        <v>141</v>
      </c>
      <c r="I15" s="58" t="s">
        <v>142</v>
      </c>
      <c r="J15" s="58" t="s">
        <v>143</v>
      </c>
      <c r="K15" s="58" t="s">
        <v>144</v>
      </c>
      <c r="L15" s="58" t="s">
        <v>145</v>
      </c>
      <c r="M15" s="58" t="s">
        <v>146</v>
      </c>
      <c r="N15" s="58" t="s">
        <v>147</v>
      </c>
      <c r="O15" s="58" t="s">
        <v>91</v>
      </c>
      <c r="P15" s="58" t="s">
        <v>232</v>
      </c>
      <c r="Q15" s="58" t="s">
        <v>238</v>
      </c>
      <c r="R15" s="58" t="s">
        <v>239</v>
      </c>
      <c r="S15" s="4"/>
      <c r="AN15" s="4"/>
    </row>
    <row r="16" spans="1:40">
      <c r="C16" s="45" t="s">
        <v>148</v>
      </c>
      <c r="D16" s="45">
        <v>9</v>
      </c>
      <c r="E16" s="56">
        <v>30</v>
      </c>
      <c r="F16" s="56">
        <v>12.393357293344922</v>
      </c>
      <c r="G16" s="56">
        <v>4.7</v>
      </c>
      <c r="H16" s="56">
        <v>0</v>
      </c>
      <c r="I16" s="56">
        <v>0</v>
      </c>
      <c r="J16" s="56">
        <v>0</v>
      </c>
      <c r="K16" s="56">
        <v>1</v>
      </c>
      <c r="L16" s="56">
        <v>0</v>
      </c>
      <c r="M16" s="56">
        <v>0</v>
      </c>
      <c r="N16" s="56">
        <v>1</v>
      </c>
      <c r="O16" s="50">
        <f>SUM(G16:N16)</f>
        <v>6.7</v>
      </c>
      <c r="P16" s="50">
        <f>0.182*1.3^O16*E16^0.39</f>
        <v>3.9771240551019962</v>
      </c>
      <c r="Q16" s="68">
        <v>14.265360000000001</v>
      </c>
      <c r="R16" s="69">
        <f>P16/Q16</f>
        <v>0.2787959122729462</v>
      </c>
      <c r="S16" s="4"/>
      <c r="AN16" s="4"/>
    </row>
    <row r="17" spans="3:40">
      <c r="C17" s="45" t="str">
        <f>"-1.0 Membrane"</f>
        <v>-1.0 Membrane</v>
      </c>
      <c r="D17" s="45">
        <v>9</v>
      </c>
      <c r="E17" s="56">
        <f>843*24*365/1000000</f>
        <v>7.3846800000000004</v>
      </c>
      <c r="F17" s="56">
        <v>3.0527876170958059</v>
      </c>
      <c r="G17" s="56">
        <v>2</v>
      </c>
      <c r="H17" s="56">
        <v>0</v>
      </c>
      <c r="I17" s="56">
        <v>0</v>
      </c>
      <c r="J17" s="56">
        <v>0</v>
      </c>
      <c r="K17" s="56">
        <v>0</v>
      </c>
      <c r="L17" s="56">
        <v>0</v>
      </c>
      <c r="M17" s="56">
        <v>1.8</v>
      </c>
      <c r="N17" s="56">
        <v>3</v>
      </c>
      <c r="O17" s="50">
        <f>SUM(G17:N17)</f>
        <v>6.8</v>
      </c>
      <c r="P17" s="50">
        <f>0.182*1.3^O17*E17^0.39</f>
        <v>2.3633907922076292</v>
      </c>
      <c r="Q17" s="67">
        <v>13.83915</v>
      </c>
      <c r="R17" s="50">
        <f>(P16+P17)/Q17</f>
        <v>0.45815782380490316</v>
      </c>
      <c r="S17" s="4"/>
      <c r="AN17" s="4"/>
    </row>
    <row r="18" spans="3:40">
      <c r="C18" s="45" t="str">
        <f>"-1.1 Adsorption"</f>
        <v>-1.1 Adsorption</v>
      </c>
      <c r="D18" s="45">
        <v>7</v>
      </c>
      <c r="E18" s="56">
        <f>733*24*365/1000000</f>
        <v>6.4210799999999999</v>
      </c>
      <c r="F18" s="56">
        <v>2.65444047844748</v>
      </c>
      <c r="G18" s="56">
        <v>1.7</v>
      </c>
      <c r="H18" s="56">
        <v>2.4</v>
      </c>
      <c r="I18" s="56">
        <v>0</v>
      </c>
      <c r="J18" s="56">
        <v>0</v>
      </c>
      <c r="K18" s="56">
        <v>0</v>
      </c>
      <c r="L18" s="56">
        <v>0</v>
      </c>
      <c r="M18" s="56">
        <v>0</v>
      </c>
      <c r="N18" s="56">
        <v>2</v>
      </c>
      <c r="O18" s="50">
        <f>SUM(G18:N18)</f>
        <v>6.1</v>
      </c>
      <c r="P18" s="50">
        <f t="shared" ref="P18:P19" si="0">0.182*1.3^O18*E18^0.39</f>
        <v>1.8624858784618938</v>
      </c>
      <c r="Q18" s="67">
        <v>13.4397</v>
      </c>
      <c r="R18" s="50">
        <f>SUM(P16:P18)/Q18</f>
        <v>0.61035593992213522</v>
      </c>
      <c r="S18" s="4"/>
      <c r="AN18" s="4"/>
    </row>
    <row r="19" spans="3:40"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50">
        <f>SUM(G19:N19)</f>
        <v>0</v>
      </c>
      <c r="P19" s="50">
        <f t="shared" si="0"/>
        <v>0</v>
      </c>
      <c r="Q19" s="50"/>
      <c r="R19" s="50"/>
      <c r="S19" s="4"/>
      <c r="AN19" s="4"/>
    </row>
    <row r="20" spans="3:40"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</row>
    <row r="21" spans="3:40"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</row>
    <row r="22" spans="3:40" ht="15" customHeight="1">
      <c r="C22" s="84" t="s">
        <v>228</v>
      </c>
      <c r="D22" s="84"/>
      <c r="E22" s="84" t="s">
        <v>225</v>
      </c>
      <c r="F22" s="84"/>
      <c r="G22" s="84"/>
      <c r="H22" s="84"/>
      <c r="I22" s="84"/>
      <c r="J22" s="84"/>
      <c r="K22" s="84"/>
      <c r="L22" s="84"/>
      <c r="M22" s="84"/>
      <c r="N22" s="84"/>
      <c r="O22" s="83" t="s">
        <v>226</v>
      </c>
      <c r="P22" s="83"/>
      <c r="Q22" s="83" t="s">
        <v>237</v>
      </c>
      <c r="R22" s="83"/>
      <c r="S22" s="4"/>
      <c r="AM22"/>
    </row>
    <row r="23" spans="3:40" ht="45.75" customHeight="1">
      <c r="C23" s="57" t="s">
        <v>137</v>
      </c>
      <c r="D23" s="57" t="s">
        <v>73</v>
      </c>
      <c r="E23" s="58" t="s">
        <v>138</v>
      </c>
      <c r="F23" s="58" t="s">
        <v>139</v>
      </c>
      <c r="G23" s="58" t="s">
        <v>140</v>
      </c>
      <c r="H23" s="58" t="s">
        <v>141</v>
      </c>
      <c r="I23" s="58" t="s">
        <v>142</v>
      </c>
      <c r="J23" s="58" t="s">
        <v>143</v>
      </c>
      <c r="K23" s="58" t="s">
        <v>144</v>
      </c>
      <c r="L23" s="58" t="s">
        <v>145</v>
      </c>
      <c r="M23" s="58" t="s">
        <v>146</v>
      </c>
      <c r="N23" s="58" t="s">
        <v>147</v>
      </c>
      <c r="O23" s="58" t="s">
        <v>91</v>
      </c>
      <c r="P23" s="58" t="s">
        <v>232</v>
      </c>
      <c r="Q23" s="58" t="s">
        <v>238</v>
      </c>
      <c r="R23" s="58" t="s">
        <v>239</v>
      </c>
      <c r="S23" s="4"/>
    </row>
    <row r="24" spans="3:40">
      <c r="C24" s="45" t="s">
        <v>148</v>
      </c>
      <c r="D24" s="45">
        <v>9</v>
      </c>
      <c r="E24" s="56">
        <v>29.979477519004288</v>
      </c>
      <c r="F24" s="56">
        <v>5.5261709712450298</v>
      </c>
      <c r="G24" s="56">
        <v>4.7</v>
      </c>
      <c r="H24" s="56">
        <v>0</v>
      </c>
      <c r="I24" s="56">
        <v>0</v>
      </c>
      <c r="J24" s="56">
        <v>0</v>
      </c>
      <c r="K24" s="56">
        <v>1</v>
      </c>
      <c r="L24" s="56">
        <v>0</v>
      </c>
      <c r="M24" s="56">
        <v>0</v>
      </c>
      <c r="N24" s="56">
        <v>1</v>
      </c>
      <c r="O24" s="50">
        <v>6.7</v>
      </c>
      <c r="P24" s="50">
        <f>0.182*1.3^O24*E24^0.39</f>
        <v>3.9760627677474552</v>
      </c>
      <c r="Q24" s="68">
        <v>13.579631713224126</v>
      </c>
      <c r="R24" s="69">
        <f>P24/Q24</f>
        <v>0.29279606779582124</v>
      </c>
      <c r="S24" s="4"/>
    </row>
    <row r="25" spans="3:40">
      <c r="C25" s="45" t="s">
        <v>149</v>
      </c>
      <c r="D25" s="45">
        <v>9</v>
      </c>
      <c r="E25" s="56">
        <v>3.3</v>
      </c>
      <c r="F25" s="56">
        <v>0.60829493087557607</v>
      </c>
      <c r="G25" s="56">
        <v>1.8</v>
      </c>
      <c r="H25" s="56">
        <v>0</v>
      </c>
      <c r="I25" s="56">
        <v>0</v>
      </c>
      <c r="J25" s="56">
        <v>0</v>
      </c>
      <c r="K25" s="56">
        <v>0</v>
      </c>
      <c r="L25" s="56">
        <v>0</v>
      </c>
      <c r="M25" s="56">
        <v>1.8</v>
      </c>
      <c r="N25" s="56">
        <v>3</v>
      </c>
      <c r="O25" s="50">
        <f>SUM(G25:N25)</f>
        <v>6.6</v>
      </c>
      <c r="P25" s="50">
        <f t="shared" ref="P25:P27" si="1">0.182*1.3^O25*E25^0.39</f>
        <v>1.6380152840092919</v>
      </c>
      <c r="Q25" s="67">
        <v>13.581443334482646</v>
      </c>
      <c r="R25" s="50">
        <f>(P24+P25)/Q25</f>
        <v>0.41336387550967185</v>
      </c>
      <c r="S25" s="4"/>
    </row>
    <row r="26" spans="3:40">
      <c r="C26" s="45" t="s">
        <v>150</v>
      </c>
      <c r="D26" s="45">
        <v>9</v>
      </c>
      <c r="E26" s="56">
        <v>3.2</v>
      </c>
      <c r="F26" s="56">
        <v>0.58986175115207373</v>
      </c>
      <c r="G26" s="56">
        <v>1.6</v>
      </c>
      <c r="H26" s="56">
        <v>5.5</v>
      </c>
      <c r="I26" s="56">
        <v>0</v>
      </c>
      <c r="J26" s="56">
        <v>0</v>
      </c>
      <c r="K26" s="56">
        <v>0</v>
      </c>
      <c r="L26" s="56">
        <v>0</v>
      </c>
      <c r="M26" s="56">
        <v>0</v>
      </c>
      <c r="N26" s="56">
        <v>0</v>
      </c>
      <c r="O26" s="50">
        <f t="shared" ref="O26" si="2">SUM(G26:N26)</f>
        <v>7.1</v>
      </c>
      <c r="P26" s="50">
        <f t="shared" si="1"/>
        <v>1.8453454608868767</v>
      </c>
      <c r="Q26" s="67">
        <v>13.393223816128899</v>
      </c>
      <c r="R26" s="50">
        <f>SUM(P24:P26)/Q26</f>
        <v>0.55695504047804778</v>
      </c>
      <c r="S26" s="4"/>
    </row>
    <row r="27" spans="3:40" ht="30.75" customHeight="1">
      <c r="C27" s="61" t="s">
        <v>233</v>
      </c>
      <c r="D27" s="45">
        <v>9</v>
      </c>
      <c r="E27" s="45">
        <v>1.2</v>
      </c>
      <c r="F27" s="45">
        <v>1</v>
      </c>
      <c r="G27" s="45">
        <v>0</v>
      </c>
      <c r="H27" s="45">
        <v>0</v>
      </c>
      <c r="I27" s="45">
        <v>0</v>
      </c>
      <c r="J27" s="45">
        <v>0</v>
      </c>
      <c r="K27" s="45">
        <v>1</v>
      </c>
      <c r="L27" s="45">
        <v>0</v>
      </c>
      <c r="M27" s="45">
        <v>0</v>
      </c>
      <c r="N27" s="45">
        <v>1</v>
      </c>
      <c r="O27" s="50">
        <f>SUM(G27:N27)</f>
        <v>2</v>
      </c>
      <c r="P27" s="50">
        <f t="shared" si="1"/>
        <v>0.33024692200474864</v>
      </c>
      <c r="Q27" s="67">
        <v>13.20121770195386</v>
      </c>
      <c r="R27" s="50">
        <f>SUM(P24:P27)/Q27</f>
        <v>0.59007211383957825</v>
      </c>
      <c r="S27" s="4"/>
      <c r="AN27" s="4"/>
    </row>
    <row r="28" spans="3:40"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</row>
    <row r="29" spans="3:40"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</row>
    <row r="30" spans="3:40"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</row>
    <row r="31" spans="3:40"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</row>
    <row r="32" spans="3:40">
      <c r="C32" s="60" t="s">
        <v>229</v>
      </c>
      <c r="D32" s="80" t="s">
        <v>225</v>
      </c>
      <c r="E32" s="81"/>
      <c r="F32" s="81"/>
      <c r="G32" s="81"/>
      <c r="H32" s="81"/>
      <c r="I32" s="81"/>
      <c r="J32" s="81"/>
      <c r="K32" s="81"/>
      <c r="L32" s="81"/>
      <c r="M32" s="82"/>
      <c r="N32" s="83" t="s">
        <v>226</v>
      </c>
      <c r="O32" s="83"/>
      <c r="P32" s="83" t="s">
        <v>237</v>
      </c>
      <c r="Q32" s="83"/>
      <c r="R32" s="4"/>
      <c r="S32" s="4"/>
    </row>
    <row r="33" spans="3:19" ht="30">
      <c r="C33" s="57" t="s">
        <v>137</v>
      </c>
      <c r="D33" s="58" t="s">
        <v>138</v>
      </c>
      <c r="E33" s="58" t="s">
        <v>139</v>
      </c>
      <c r="F33" s="58" t="s">
        <v>140</v>
      </c>
      <c r="G33" s="58" t="s">
        <v>141</v>
      </c>
      <c r="H33" s="58" t="s">
        <v>142</v>
      </c>
      <c r="I33" s="58" t="s">
        <v>143</v>
      </c>
      <c r="J33" s="58" t="s">
        <v>144</v>
      </c>
      <c r="K33" s="58" t="s">
        <v>145</v>
      </c>
      <c r="L33" s="58" t="s">
        <v>146</v>
      </c>
      <c r="M33" s="58" t="s">
        <v>147</v>
      </c>
      <c r="N33" s="58" t="s">
        <v>91</v>
      </c>
      <c r="O33" s="58" t="s">
        <v>232</v>
      </c>
      <c r="P33" s="58" t="s">
        <v>236</v>
      </c>
      <c r="Q33" s="58" t="s">
        <v>222</v>
      </c>
      <c r="R33" s="4"/>
      <c r="S33" s="4"/>
    </row>
    <row r="34" spans="3:19">
      <c r="C34" s="45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0"/>
      <c r="O34" s="50"/>
      <c r="P34" s="68"/>
      <c r="Q34" s="69"/>
      <c r="R34" s="4"/>
      <c r="S34" s="4"/>
    </row>
    <row r="35" spans="3:19">
      <c r="C35" s="45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0"/>
      <c r="O35" s="50"/>
      <c r="P35" s="67"/>
      <c r="Q35" s="50"/>
      <c r="R35" s="4"/>
      <c r="S35" s="4"/>
    </row>
    <row r="36" spans="3:19">
      <c r="C36" s="45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0"/>
      <c r="O36" s="50"/>
      <c r="P36" s="67"/>
      <c r="Q36" s="50"/>
      <c r="R36" s="4"/>
      <c r="S36" s="4"/>
    </row>
    <row r="37" spans="3:19"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6"/>
      <c r="O37" s="50"/>
      <c r="P37" s="50"/>
      <c r="Q37" s="50"/>
      <c r="R37" s="4"/>
      <c r="S37" s="4"/>
    </row>
    <row r="38" spans="3:19"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</row>
    <row r="39" spans="3:19"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</row>
    <row r="40" spans="3:19">
      <c r="C40" s="60" t="s">
        <v>230</v>
      </c>
      <c r="D40" s="80" t="s">
        <v>225</v>
      </c>
      <c r="E40" s="81"/>
      <c r="F40" s="81"/>
      <c r="G40" s="81"/>
      <c r="H40" s="81"/>
      <c r="I40" s="81"/>
      <c r="J40" s="81"/>
      <c r="K40" s="81"/>
      <c r="L40" s="81"/>
      <c r="M40" s="82"/>
      <c r="N40" s="83" t="s">
        <v>226</v>
      </c>
      <c r="O40" s="83"/>
      <c r="P40" s="83" t="s">
        <v>237</v>
      </c>
      <c r="Q40" s="83"/>
      <c r="R40" s="4"/>
      <c r="S40" s="4"/>
    </row>
    <row r="41" spans="3:19" ht="30">
      <c r="C41" s="57" t="s">
        <v>137</v>
      </c>
      <c r="D41" s="58" t="s">
        <v>138</v>
      </c>
      <c r="E41" s="58" t="s">
        <v>139</v>
      </c>
      <c r="F41" s="58" t="s">
        <v>140</v>
      </c>
      <c r="G41" s="58" t="s">
        <v>141</v>
      </c>
      <c r="H41" s="58" t="s">
        <v>142</v>
      </c>
      <c r="I41" s="58" t="s">
        <v>143</v>
      </c>
      <c r="J41" s="58" t="s">
        <v>144</v>
      </c>
      <c r="K41" s="58" t="s">
        <v>145</v>
      </c>
      <c r="L41" s="58" t="s">
        <v>146</v>
      </c>
      <c r="M41" s="58" t="s">
        <v>147</v>
      </c>
      <c r="N41" s="58" t="s">
        <v>91</v>
      </c>
      <c r="O41" s="58" t="s">
        <v>232</v>
      </c>
      <c r="P41" s="58" t="s">
        <v>236</v>
      </c>
      <c r="Q41" s="58" t="s">
        <v>222</v>
      </c>
      <c r="R41" s="4"/>
      <c r="S41" s="4"/>
    </row>
    <row r="42" spans="3:19">
      <c r="C42" s="45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0"/>
      <c r="O42" s="50"/>
      <c r="P42" s="68"/>
      <c r="Q42" s="69"/>
      <c r="R42" s="4"/>
      <c r="S42" s="4"/>
    </row>
    <row r="43" spans="3:19">
      <c r="C43" s="45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0"/>
      <c r="O43" s="50"/>
      <c r="P43" s="67"/>
      <c r="Q43" s="50"/>
      <c r="R43" s="4"/>
      <c r="S43" s="4"/>
    </row>
    <row r="44" spans="3:19">
      <c r="C44" s="45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0"/>
      <c r="O44" s="50"/>
      <c r="P44" s="67"/>
      <c r="Q44" s="50"/>
      <c r="R44" s="4"/>
      <c r="S44" s="4"/>
    </row>
    <row r="45" spans="3:19"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6"/>
      <c r="O45" s="50"/>
      <c r="P45" s="50"/>
      <c r="Q45" s="50"/>
      <c r="R45" s="4"/>
      <c r="S45" s="4"/>
    </row>
    <row r="46" spans="3:19"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</row>
    <row r="47" spans="3:19"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</row>
    <row r="48" spans="3:19"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</row>
    <row r="49" spans="3:19"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</row>
    <row r="50" spans="3:19"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</row>
    <row r="51" spans="3:19"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</row>
    <row r="52" spans="3:19"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</row>
    <row r="53" spans="3:19"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</row>
    <row r="54" spans="3:19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</row>
    <row r="55" spans="3:19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</row>
    <row r="56" spans="3:19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</row>
    <row r="57" spans="3:19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</row>
    <row r="58" spans="3:19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</row>
    <row r="59" spans="3:19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</row>
    <row r="60" spans="3:19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</row>
    <row r="61" spans="3:19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</row>
    <row r="62" spans="3:19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</row>
    <row r="63" spans="3:19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</row>
    <row r="64" spans="3:19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</row>
    <row r="65" spans="3:19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</row>
    <row r="66" spans="3:19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</row>
    <row r="67" spans="3:19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</row>
    <row r="68" spans="3:19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</row>
    <row r="69" spans="3:19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</row>
    <row r="70" spans="3:19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</row>
    <row r="71" spans="3:19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</row>
    <row r="72" spans="3:19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</row>
    <row r="73" spans="3:19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</row>
    <row r="74" spans="3:19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</row>
    <row r="75" spans="3:19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</row>
    <row r="76" spans="3:19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</row>
    <row r="77" spans="3:19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</row>
    <row r="78" spans="3:19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</row>
    <row r="79" spans="3:19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</row>
    <row r="80" spans="3:19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</row>
    <row r="81" spans="3:19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</row>
    <row r="82" spans="3:19"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</row>
    <row r="83" spans="3:19"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</row>
    <row r="84" spans="3:19"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</row>
    <row r="85" spans="3:19"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</row>
    <row r="86" spans="3:19"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</row>
    <row r="87" spans="3:19"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</row>
    <row r="88" spans="3:19"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</row>
    <row r="89" spans="3:19"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</row>
    <row r="90" spans="3:19"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</row>
    <row r="91" spans="3:19"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</row>
    <row r="92" spans="3:19"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</row>
    <row r="93" spans="3:19"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</row>
    <row r="94" spans="3:19"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</row>
    <row r="95" spans="3:19"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</row>
    <row r="96" spans="3:19"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</row>
    <row r="97" spans="3:19"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</row>
    <row r="98" spans="3:19"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</row>
    <row r="99" spans="3:19"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</row>
    <row r="100" spans="3:19"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</row>
    <row r="101" spans="3:19"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</row>
    <row r="102" spans="3:19"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</row>
    <row r="103" spans="3:19"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</row>
    <row r="104" spans="3:19"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</row>
    <row r="105" spans="3:19"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</row>
    <row r="106" spans="3:19"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</row>
    <row r="107" spans="3:19"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</row>
    <row r="108" spans="3:19"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</row>
    <row r="109" spans="3:19"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</row>
    <row r="110" spans="3:19"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</row>
    <row r="111" spans="3:19"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</row>
    <row r="112" spans="3:19"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</row>
    <row r="113" spans="3:19"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</row>
    <row r="114" spans="3:19"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</row>
    <row r="115" spans="3:19"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</row>
    <row r="116" spans="3:19"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</row>
    <row r="117" spans="3:19"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</row>
    <row r="118" spans="3:19"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</row>
    <row r="119" spans="3:19"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</row>
    <row r="120" spans="3:19"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</row>
    <row r="121" spans="3:19"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</row>
    <row r="122" spans="3:19"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</row>
    <row r="123" spans="3:19"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</row>
    <row r="124" spans="3:19"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</row>
    <row r="125" spans="3:19"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</row>
    <row r="126" spans="3:19"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</row>
    <row r="127" spans="3:19"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</row>
    <row r="128" spans="3:19"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</row>
    <row r="129" spans="3:19"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</row>
    <row r="130" spans="3:19"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</row>
    <row r="131" spans="3:19"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</row>
    <row r="132" spans="3:19"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</row>
    <row r="133" spans="3:19"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</row>
    <row r="134" spans="3:19"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</row>
    <row r="135" spans="3:19"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</row>
    <row r="136" spans="3:19"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</row>
    <row r="137" spans="3:19"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</row>
    <row r="138" spans="3:19"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</row>
    <row r="139" spans="3:19"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</row>
    <row r="140" spans="3:19"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</row>
    <row r="141" spans="3:19"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</row>
    <row r="142" spans="3:19"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</row>
    <row r="143" spans="3:19"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</row>
    <row r="144" spans="3:19"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</row>
    <row r="145" spans="3:19"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</row>
    <row r="146" spans="3:19"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</row>
    <row r="147" spans="3:19"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</row>
    <row r="148" spans="3:19"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</row>
    <row r="149" spans="3:19"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</row>
    <row r="150" spans="3:19"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</row>
    <row r="151" spans="3:19"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</row>
    <row r="152" spans="3:19"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</row>
    <row r="153" spans="3:19"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</row>
    <row r="154" spans="3:19"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</row>
    <row r="155" spans="3:19"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</row>
    <row r="156" spans="3:19"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</row>
    <row r="157" spans="3:19"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</row>
    <row r="158" spans="3:19"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</row>
    <row r="159" spans="3:19"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</row>
    <row r="160" spans="3:19"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</row>
    <row r="161" spans="3:19"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</row>
    <row r="162" spans="3:19"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</row>
    <row r="163" spans="3:19"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</row>
    <row r="164" spans="3:19"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</row>
    <row r="165" spans="3:19"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</row>
    <row r="166" spans="3:19"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</row>
    <row r="167" spans="3:19"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</row>
    <row r="168" spans="3:19"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</row>
    <row r="169" spans="3:19"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</row>
    <row r="170" spans="3:19"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</row>
    <row r="171" spans="3:19"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</row>
    <row r="172" spans="3:19"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</row>
    <row r="173" spans="3:19"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</row>
    <row r="174" spans="3:19"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</row>
    <row r="175" spans="3:19"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</row>
    <row r="176" spans="3:19"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</row>
    <row r="177" spans="3:19"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</row>
    <row r="178" spans="3:19"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</row>
    <row r="179" spans="3:19"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</row>
    <row r="180" spans="3:19"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</row>
    <row r="181" spans="3:19"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</row>
    <row r="182" spans="3:19"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</row>
    <row r="183" spans="3:19"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</row>
    <row r="184" spans="3:19"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</row>
    <row r="185" spans="3:19"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</row>
    <row r="186" spans="3:19"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</row>
    <row r="187" spans="3:19"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</row>
    <row r="188" spans="3:19"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</row>
    <row r="189" spans="3:19"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</row>
    <row r="190" spans="3:19"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</row>
    <row r="191" spans="3:19"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</row>
    <row r="192" spans="3:19"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</row>
    <row r="193" spans="3:19"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</row>
  </sheetData>
  <mergeCells count="17">
    <mergeCell ref="C2:F2"/>
    <mergeCell ref="C7:I7"/>
    <mergeCell ref="D32:M32"/>
    <mergeCell ref="N32:O32"/>
    <mergeCell ref="D40:M40"/>
    <mergeCell ref="N40:O40"/>
    <mergeCell ref="K7:R7"/>
    <mergeCell ref="C14:D14"/>
    <mergeCell ref="C22:D22"/>
    <mergeCell ref="E22:N22"/>
    <mergeCell ref="O14:P14"/>
    <mergeCell ref="E14:N14"/>
    <mergeCell ref="Q14:R14"/>
    <mergeCell ref="P32:Q32"/>
    <mergeCell ref="P40:Q40"/>
    <mergeCell ref="O22:P22"/>
    <mergeCell ref="Q22:R22"/>
  </mergeCells>
  <conditionalFormatting sqref="R47:R49">
    <cfRule type="cellIs" dxfId="29" priority="34" operator="lessThan">
      <formula>0</formula>
    </cfRule>
    <cfRule type="cellIs" dxfId="28" priority="35" operator="greaterThan">
      <formula>0</formula>
    </cfRule>
  </conditionalFormatting>
  <conditionalFormatting sqref="O47:Q49">
    <cfRule type="cellIs" dxfId="27" priority="22" operator="lessThan">
      <formula>0</formula>
    </cfRule>
    <cfRule type="cellIs" dxfId="26" priority="23" operator="greaterThan">
      <formula>0</formula>
    </cfRule>
  </conditionalFormatting>
  <conditionalFormatting sqref="H9:I10">
    <cfRule type="cellIs" dxfId="25" priority="20" operator="lessThan">
      <formula>0</formula>
    </cfRule>
    <cfRule type="cellIs" dxfId="24" priority="21" operator="greaterThan">
      <formula>0</formula>
    </cfRule>
  </conditionalFormatting>
  <conditionalFormatting sqref="R9:R12">
    <cfRule type="containsText" dxfId="23" priority="17" operator="containsText" text="No">
      <formula>NOT(ISERROR(SEARCH("No",R9)))</formula>
    </cfRule>
    <cfRule type="containsText" dxfId="22" priority="18" operator="containsText" text="Yes">
      <formula>NOT(ISERROR(SEARCH("Yes",R9)))</formula>
    </cfRule>
  </conditionalFormatting>
  <conditionalFormatting sqref="L9:O12">
    <cfRule type="cellIs" dxfId="21" priority="15" operator="greaterThan">
      <formula>0</formula>
    </cfRule>
    <cfRule type="cellIs" dxfId="20" priority="16" operator="lessThan">
      <formula>0</formula>
    </cfRule>
  </conditionalFormatting>
  <conditionalFormatting sqref="P11:Q12 Q9:Q10">
    <cfRule type="cellIs" dxfId="19" priority="13" operator="greaterThan">
      <formula>0</formula>
    </cfRule>
    <cfRule type="cellIs" dxfId="18" priority="14" operator="lessThan">
      <formula>0</formula>
    </cfRule>
  </conditionalFormatting>
  <conditionalFormatting sqref="P16:P19">
    <cfRule type="cellIs" dxfId="17" priority="11" operator="greaterThan">
      <formula>0</formula>
    </cfRule>
  </conditionalFormatting>
  <conditionalFormatting sqref="Q19:R19">
    <cfRule type="cellIs" dxfId="16" priority="10" operator="greaterThan">
      <formula>0</formula>
    </cfRule>
  </conditionalFormatting>
  <conditionalFormatting sqref="R16:R18">
    <cfRule type="cellIs" dxfId="15" priority="9" operator="lessThan">
      <formula>5</formula>
    </cfRule>
  </conditionalFormatting>
  <conditionalFormatting sqref="R24:R27">
    <cfRule type="cellIs" dxfId="14" priority="8" operator="lessThan">
      <formula>5</formula>
    </cfRule>
  </conditionalFormatting>
  <conditionalFormatting sqref="P24:P27">
    <cfRule type="cellIs" dxfId="13" priority="7" operator="greaterThan">
      <formula>0</formula>
    </cfRule>
  </conditionalFormatting>
  <conditionalFormatting sqref="P37:Q37">
    <cfRule type="cellIs" dxfId="12" priority="6" operator="greaterThan">
      <formula>0</formula>
    </cfRule>
  </conditionalFormatting>
  <conditionalFormatting sqref="P45:Q45">
    <cfRule type="cellIs" dxfId="11" priority="4" operator="greaterThan">
      <formula>0</formula>
    </cfRule>
  </conditionalFormatting>
  <conditionalFormatting sqref="J1">
    <cfRule type="cellIs" dxfId="5" priority="3" operator="equal">
      <formula>0</formula>
    </cfRule>
  </conditionalFormatting>
  <conditionalFormatting sqref="J1">
    <cfRule type="cellIs" dxfId="4" priority="2" operator="equal">
      <formula>10</formula>
    </cfRule>
  </conditionalFormatting>
  <conditionalFormatting sqref="J1">
    <cfRule type="containsText" dxfId="3" priority="1" operator="containsText" text=": Reaction">
      <formula>NOT(ISERROR(SEARCH(": Reaction",J1)))</formula>
    </cfRule>
  </conditionalFormatting>
  <pageMargins left="0.7" right="0.7" top="0.75" bottom="0.75" header="0.3" footer="0.3"/>
  <pageSetup paperSize="9" orientation="portrait" r:id="rId1"/>
  <ignoredErrors>
    <ignoredError sqref="O26:O27 O16:O18 O2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T49"/>
  <sheetViews>
    <sheetView tabSelected="1" zoomScale="85" zoomScaleNormal="85" workbookViewId="0">
      <selection activeCell="G2" sqref="G2"/>
    </sheetView>
  </sheetViews>
  <sheetFormatPr defaultRowHeight="15"/>
  <cols>
    <col min="1" max="1" width="2.5703125" style="4" customWidth="1"/>
    <col min="2" max="2" width="17.7109375" style="4" bestFit="1" customWidth="1"/>
    <col min="3" max="3" width="28.42578125" style="4" bestFit="1" customWidth="1"/>
    <col min="4" max="4" width="20.85546875" style="4" bestFit="1" customWidth="1"/>
    <col min="5" max="5" width="11.28515625" style="4" bestFit="1" customWidth="1"/>
    <col min="6" max="6" width="9.7109375" style="4" bestFit="1" customWidth="1"/>
    <col min="7" max="7" width="8.7109375" style="4" bestFit="1" customWidth="1"/>
    <col min="8" max="8" width="3.7109375" style="4" customWidth="1"/>
    <col min="9" max="9" width="3.5703125" style="4" customWidth="1"/>
    <col min="10" max="10" width="3.28515625" style="4" customWidth="1"/>
    <col min="11" max="11" width="4.7109375" style="4" hidden="1" customWidth="1"/>
    <col min="12" max="12" width="4.5703125" style="4" hidden="1" customWidth="1"/>
    <col min="13" max="13" width="4" style="4" hidden="1" customWidth="1"/>
    <col min="14" max="14" width="17.28515625" style="4" hidden="1" customWidth="1"/>
    <col min="15" max="15" width="11.85546875" style="4" hidden="1" customWidth="1"/>
    <col min="16" max="16" width="11.42578125" style="4" hidden="1" customWidth="1"/>
    <col min="17" max="17" width="14.7109375" style="4" hidden="1" customWidth="1"/>
    <col min="18" max="18" width="20.85546875" style="4" hidden="1" customWidth="1"/>
    <col min="19" max="19" width="12.140625" style="4" hidden="1" customWidth="1"/>
    <col min="20" max="20" width="9.140625" style="4"/>
    <col min="21" max="21" width="13.28515625" style="4" customWidth="1"/>
    <col min="22" max="22" width="23.28515625" style="4" customWidth="1"/>
    <col min="23" max="23" width="23.5703125" style="4" bestFit="1" customWidth="1"/>
    <col min="24" max="24" width="21.85546875" style="4" bestFit="1" customWidth="1"/>
    <col min="25" max="25" width="14.140625" style="4" customWidth="1"/>
    <col min="26" max="26" width="21.42578125" style="4" bestFit="1" customWidth="1"/>
    <col min="27" max="27" width="16.5703125" style="4" customWidth="1"/>
    <col min="28" max="28" width="9.7109375" style="4" customWidth="1"/>
    <col min="29" max="29" width="9.28515625" style="4" customWidth="1"/>
    <col min="30" max="30" width="7.85546875" style="4" customWidth="1"/>
    <col min="31" max="31" width="14.42578125" style="4" customWidth="1"/>
    <col min="32" max="32" width="17.85546875" style="4" customWidth="1"/>
    <col min="33" max="33" width="0" style="4" hidden="1" customWidth="1"/>
    <col min="34" max="46" width="9.140625" style="4" hidden="1" customWidth="1"/>
    <col min="47" max="16384" width="9.140625" style="4"/>
  </cols>
  <sheetData>
    <row r="1" spans="2:45">
      <c r="G1" s="92" t="s">
        <v>241</v>
      </c>
    </row>
    <row r="2" spans="2:45" ht="15.75" customHeight="1">
      <c r="B2" s="85" t="s">
        <v>181</v>
      </c>
      <c r="C2" s="86"/>
      <c r="D2" s="88"/>
      <c r="U2" s="87" t="s">
        <v>212</v>
      </c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J2" s="14" t="s">
        <v>205</v>
      </c>
      <c r="AK2" s="14" t="s">
        <v>44</v>
      </c>
      <c r="AL2" s="14" t="s">
        <v>45</v>
      </c>
      <c r="AM2" s="14" t="s">
        <v>46</v>
      </c>
      <c r="AN2" s="14" t="s">
        <v>47</v>
      </c>
      <c r="AO2" s="14" t="s">
        <v>48</v>
      </c>
      <c r="AP2" s="14" t="s">
        <v>49</v>
      </c>
      <c r="AQ2" s="14" t="s">
        <v>50</v>
      </c>
      <c r="AR2" s="14"/>
      <c r="AS2" s="14" t="s">
        <v>210</v>
      </c>
    </row>
    <row r="3" spans="2:45" ht="15.75" customHeight="1">
      <c r="B3" s="25" t="s">
        <v>152</v>
      </c>
      <c r="C3" s="25" t="s">
        <v>153</v>
      </c>
      <c r="D3" s="25" t="s">
        <v>154</v>
      </c>
      <c r="U3" s="25"/>
      <c r="V3" s="25" t="s">
        <v>186</v>
      </c>
      <c r="W3" s="25" t="s">
        <v>187</v>
      </c>
      <c r="X3" s="25" t="s">
        <v>188</v>
      </c>
      <c r="Y3" s="25" t="s">
        <v>189</v>
      </c>
      <c r="Z3" s="25" t="s">
        <v>190</v>
      </c>
      <c r="AA3" s="25" t="s">
        <v>191</v>
      </c>
      <c r="AB3" s="25" t="s">
        <v>192</v>
      </c>
      <c r="AC3" s="25" t="s">
        <v>193</v>
      </c>
      <c r="AD3" s="25" t="s">
        <v>194</v>
      </c>
      <c r="AE3" s="25" t="s">
        <v>213</v>
      </c>
      <c r="AF3" s="25" t="s">
        <v>214</v>
      </c>
      <c r="AH3" s="4" t="s">
        <v>184</v>
      </c>
      <c r="AI3" s="4" t="s">
        <v>195</v>
      </c>
      <c r="AJ3" s="14">
        <v>1</v>
      </c>
      <c r="AK3" s="14">
        <f t="shared" ref="AK3:AR5" si="0">1/(1/10^(X9))</f>
        <v>151.3561248436209</v>
      </c>
      <c r="AL3" s="14">
        <f t="shared" si="0"/>
        <v>151.3561248436209</v>
      </c>
      <c r="AM3" s="14">
        <f t="shared" si="0"/>
        <v>7762.4711662869322</v>
      </c>
      <c r="AN3" s="14">
        <f t="shared" si="0"/>
        <v>7585.7757502918394</v>
      </c>
      <c r="AO3" s="14">
        <f t="shared" si="0"/>
        <v>4.8977881936844625</v>
      </c>
      <c r="AP3" s="14">
        <f t="shared" si="0"/>
        <v>4.8977881936844625</v>
      </c>
      <c r="AQ3" s="14">
        <f t="shared" si="0"/>
        <v>1.1748975549395295</v>
      </c>
      <c r="AR3" s="14">
        <f t="shared" si="0"/>
        <v>93.325430079699174</v>
      </c>
      <c r="AS3" s="14">
        <f>AVERAGE(AK3:AR3)</f>
        <v>1969.4068837860027</v>
      </c>
    </row>
    <row r="4" spans="2:45">
      <c r="B4" s="45">
        <v>40</v>
      </c>
      <c r="C4" s="45">
        <v>0.36</v>
      </c>
      <c r="D4" s="45">
        <v>15</v>
      </c>
      <c r="U4" s="25" t="s">
        <v>205</v>
      </c>
      <c r="V4" s="45">
        <v>1</v>
      </c>
      <c r="W4" s="45">
        <v>1</v>
      </c>
      <c r="X4" s="45">
        <v>1</v>
      </c>
      <c r="Y4" s="45">
        <v>1</v>
      </c>
      <c r="Z4" s="45">
        <v>1</v>
      </c>
      <c r="AA4" s="45">
        <v>1</v>
      </c>
      <c r="AB4" s="45">
        <v>1</v>
      </c>
      <c r="AC4" s="45">
        <v>1</v>
      </c>
      <c r="AD4" s="45">
        <v>1</v>
      </c>
      <c r="AE4" s="45"/>
      <c r="AF4" s="45"/>
      <c r="AI4" s="4" t="s">
        <v>196</v>
      </c>
      <c r="AJ4" s="14">
        <v>1</v>
      </c>
      <c r="AK4" s="14">
        <f t="shared" si="0"/>
        <v>338.84415613920248</v>
      </c>
      <c r="AL4" s="14">
        <f t="shared" si="0"/>
        <v>691.83097091893671</v>
      </c>
      <c r="AM4" s="14">
        <f t="shared" si="0"/>
        <v>16595.869074375616</v>
      </c>
      <c r="AN4" s="14">
        <f t="shared" si="0"/>
        <v>8709.6358995608189</v>
      </c>
      <c r="AO4" s="14">
        <f t="shared" si="0"/>
        <v>371.53522909717265</v>
      </c>
      <c r="AP4" s="14">
        <f t="shared" si="0"/>
        <v>371.53522909717265</v>
      </c>
      <c r="AQ4" s="14">
        <f t="shared" si="0"/>
        <v>6.6069344800759611</v>
      </c>
      <c r="AR4" s="14">
        <f t="shared" si="0"/>
        <v>165.95869074375622</v>
      </c>
      <c r="AS4" s="14">
        <f t="shared" ref="AS4:AS11" si="1">AVERAGE(AK4:AR4)</f>
        <v>3406.4770230515937</v>
      </c>
    </row>
    <row r="5" spans="2:45">
      <c r="U5" s="25" t="s">
        <v>154</v>
      </c>
      <c r="V5" s="45">
        <v>10</v>
      </c>
      <c r="W5" s="45">
        <v>10</v>
      </c>
      <c r="X5" s="45">
        <v>10</v>
      </c>
      <c r="Y5" s="45">
        <v>10</v>
      </c>
      <c r="Z5" s="45">
        <v>10</v>
      </c>
      <c r="AA5" s="45">
        <v>10</v>
      </c>
      <c r="AB5" s="45">
        <v>10</v>
      </c>
      <c r="AC5" s="45">
        <v>10</v>
      </c>
      <c r="AD5" s="45">
        <v>10</v>
      </c>
      <c r="AE5" s="45">
        <v>25</v>
      </c>
      <c r="AF5" s="45">
        <v>5</v>
      </c>
      <c r="AI5" s="4" t="s">
        <v>197</v>
      </c>
      <c r="AJ5" s="14">
        <v>1</v>
      </c>
      <c r="AK5" s="14">
        <f t="shared" si="0"/>
        <v>97.723722095581124</v>
      </c>
      <c r="AL5" s="14">
        <f t="shared" si="0"/>
        <v>47.863009232263856</v>
      </c>
      <c r="AM5" s="14">
        <f t="shared" si="0"/>
        <v>138.0384264602886</v>
      </c>
      <c r="AN5" s="14">
        <f t="shared" si="0"/>
        <v>173.78008287493768</v>
      </c>
      <c r="AO5" s="14">
        <f t="shared" si="0"/>
        <v>104.71285480508998</v>
      </c>
      <c r="AP5" s="14">
        <f t="shared" si="0"/>
        <v>104.71285480508998</v>
      </c>
      <c r="AQ5" s="14">
        <f t="shared" si="0"/>
        <v>97.723722095581124</v>
      </c>
      <c r="AR5" s="14">
        <f t="shared" si="0"/>
        <v>58.884365535558949</v>
      </c>
      <c r="AS5" s="14">
        <f t="shared" si="1"/>
        <v>102.9298797380489</v>
      </c>
    </row>
    <row r="6" spans="2:45">
      <c r="AI6" s="4" t="s">
        <v>198</v>
      </c>
      <c r="AJ6" s="14">
        <v>1</v>
      </c>
      <c r="AK6" s="14">
        <f t="shared" ref="AK6:AR6" si="2">(1/10^(X12))</f>
        <v>1.6595869074375607</v>
      </c>
      <c r="AL6" s="14">
        <f t="shared" si="2"/>
        <v>2.4547089156850306</v>
      </c>
      <c r="AM6" s="14">
        <f t="shared" si="2"/>
        <v>6.9183097091893666</v>
      </c>
      <c r="AN6" s="14">
        <f t="shared" si="2"/>
        <v>389.04514499428063</v>
      </c>
      <c r="AO6" s="14">
        <f t="shared" si="2"/>
        <v>24.547089156850305</v>
      </c>
      <c r="AP6" s="14">
        <f t="shared" si="2"/>
        <v>24.547089156850305</v>
      </c>
      <c r="AQ6" s="14">
        <f t="shared" si="2"/>
        <v>17.782794100389236</v>
      </c>
      <c r="AR6" s="14">
        <f t="shared" si="2"/>
        <v>0.18620871366628672</v>
      </c>
      <c r="AS6" s="14">
        <f t="shared" si="1"/>
        <v>58.39261645679359</v>
      </c>
    </row>
    <row r="7" spans="2:45" ht="15" customHeight="1">
      <c r="B7" s="48" t="s">
        <v>179</v>
      </c>
      <c r="C7" s="85" t="s">
        <v>182</v>
      </c>
      <c r="D7" s="86"/>
      <c r="E7" s="86"/>
      <c r="F7" s="86"/>
      <c r="G7" s="88"/>
      <c r="H7" s="85" t="s">
        <v>155</v>
      </c>
      <c r="I7" s="86"/>
      <c r="J7" s="88"/>
      <c r="K7" s="85" t="s">
        <v>156</v>
      </c>
      <c r="L7" s="86"/>
      <c r="M7" s="88"/>
      <c r="N7" s="85" t="s">
        <v>157</v>
      </c>
      <c r="O7" s="86"/>
      <c r="P7" s="87" t="s">
        <v>158</v>
      </c>
      <c r="Q7" s="87"/>
      <c r="R7" s="87"/>
      <c r="S7" s="87"/>
      <c r="U7" s="87" t="s">
        <v>211</v>
      </c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I7" s="4" t="s">
        <v>199</v>
      </c>
      <c r="AJ7" s="14">
        <v>1</v>
      </c>
      <c r="AK7" s="14">
        <f t="shared" ref="AK7:AR8" si="3">1/(1/10^(X13))</f>
        <v>1258.925411794168</v>
      </c>
      <c r="AL7" s="14">
        <f t="shared" si="3"/>
        <v>5370.3179637025269</v>
      </c>
      <c r="AM7" s="14">
        <f t="shared" si="3"/>
        <v>4786.3009232263848</v>
      </c>
      <c r="AN7" s="14">
        <f t="shared" si="3"/>
        <v>776.24711662869231</v>
      </c>
      <c r="AO7" s="14">
        <f t="shared" si="3"/>
        <v>125892.54117941686</v>
      </c>
      <c r="AP7" s="14">
        <f t="shared" si="3"/>
        <v>125892.54117941686</v>
      </c>
      <c r="AQ7" s="14">
        <f t="shared" si="3"/>
        <v>891250.93813374697</v>
      </c>
      <c r="AR7" s="14">
        <f t="shared" si="3"/>
        <v>162.18100973589304</v>
      </c>
      <c r="AS7" s="14">
        <f>AVERAGE(AK7:AR7)</f>
        <v>144423.74911470854</v>
      </c>
    </row>
    <row r="8" spans="2:45" ht="15.75" customHeight="1">
      <c r="B8" s="25" t="s">
        <v>159</v>
      </c>
      <c r="C8" s="25" t="s">
        <v>160</v>
      </c>
      <c r="D8" s="25" t="s">
        <v>161</v>
      </c>
      <c r="E8" s="25" t="s">
        <v>162</v>
      </c>
      <c r="F8" s="25" t="s">
        <v>163</v>
      </c>
      <c r="G8" s="25" t="s">
        <v>164</v>
      </c>
      <c r="H8" s="25" t="s">
        <v>165</v>
      </c>
      <c r="I8" s="25" t="s">
        <v>166</v>
      </c>
      <c r="J8" s="25" t="s">
        <v>167</v>
      </c>
      <c r="K8" s="25" t="s">
        <v>151</v>
      </c>
      <c r="L8" s="25" t="s">
        <v>168</v>
      </c>
      <c r="M8" s="25" t="s">
        <v>169</v>
      </c>
      <c r="N8" s="25" t="s">
        <v>170</v>
      </c>
      <c r="O8" s="25" t="s">
        <v>171</v>
      </c>
      <c r="P8" s="25" t="s">
        <v>172</v>
      </c>
      <c r="Q8" s="25" t="s">
        <v>173</v>
      </c>
      <c r="R8" s="25" t="s">
        <v>174</v>
      </c>
      <c r="S8" s="25" t="s">
        <v>175</v>
      </c>
      <c r="U8" s="25" t="s">
        <v>215</v>
      </c>
      <c r="V8" s="25" t="s">
        <v>216</v>
      </c>
      <c r="W8" s="25" t="s">
        <v>205</v>
      </c>
      <c r="X8" s="52" t="s">
        <v>44</v>
      </c>
      <c r="Y8" s="52" t="s">
        <v>45</v>
      </c>
      <c r="Z8" s="52" t="s">
        <v>46</v>
      </c>
      <c r="AA8" s="52" t="s">
        <v>47</v>
      </c>
      <c r="AB8" s="52" t="s">
        <v>48</v>
      </c>
      <c r="AC8" s="52" t="s">
        <v>49</v>
      </c>
      <c r="AD8" s="52" t="s">
        <v>50</v>
      </c>
      <c r="AE8" s="52"/>
      <c r="AF8" s="52" t="s">
        <v>210</v>
      </c>
      <c r="AH8" s="4" t="s">
        <v>185</v>
      </c>
      <c r="AI8" s="4" t="s">
        <v>200</v>
      </c>
      <c r="AJ8" s="14">
        <v>1</v>
      </c>
      <c r="AK8" s="14">
        <f t="shared" si="3"/>
        <v>1.2022644346174129</v>
      </c>
      <c r="AL8" s="14">
        <f t="shared" si="3"/>
        <v>0.70794578438413791</v>
      </c>
      <c r="AM8" s="14">
        <f t="shared" si="3"/>
        <v>0.16982436524617442</v>
      </c>
      <c r="AN8" s="14">
        <f t="shared" si="3"/>
        <v>7.7624711662869134E-2</v>
      </c>
      <c r="AO8" s="14">
        <f t="shared" si="3"/>
        <v>1.4791083881682074</v>
      </c>
      <c r="AP8" s="14">
        <f t="shared" si="3"/>
        <v>1.4791083881682074</v>
      </c>
      <c r="AQ8" s="14">
        <f t="shared" si="3"/>
        <v>1.5848931924611134</v>
      </c>
      <c r="AR8" s="14">
        <f t="shared" si="3"/>
        <v>1.5848931924611134</v>
      </c>
      <c r="AS8" s="14">
        <f>AVERAGE(AK8:AR8)</f>
        <v>1.0357078071461545</v>
      </c>
    </row>
    <row r="9" spans="2:45">
      <c r="B9" s="45">
        <v>1</v>
      </c>
      <c r="C9" s="45" t="s">
        <v>44</v>
      </c>
      <c r="D9" s="47">
        <v>12.336262643011109</v>
      </c>
      <c r="E9" s="45">
        <f>H9*12+I9*1+J9*16</f>
        <v>60</v>
      </c>
      <c r="F9" s="45">
        <v>0.45</v>
      </c>
      <c r="G9" s="45" t="s">
        <v>176</v>
      </c>
      <c r="H9" s="45">
        <v>2</v>
      </c>
      <c r="I9" s="45">
        <v>4</v>
      </c>
      <c r="J9" s="45">
        <v>2</v>
      </c>
      <c r="K9" s="46">
        <f t="shared" ref="K9:K17" si="4">I9/2</f>
        <v>2</v>
      </c>
      <c r="L9" s="46">
        <f t="shared" ref="L9:L17" si="5">+H9</f>
        <v>2</v>
      </c>
      <c r="M9" s="46">
        <f t="shared" ref="M9:M17" si="6">(K9+2*L9-J9)/2</f>
        <v>2</v>
      </c>
      <c r="N9" s="49">
        <f t="shared" ref="N9:N17" si="7">D9/E9*L9*44</f>
        <v>18.093185209749624</v>
      </c>
      <c r="O9" s="49">
        <f t="shared" ref="O9:O17" si="8">D9/E9*M9*32</f>
        <v>13.158680152545182</v>
      </c>
      <c r="P9" s="49">
        <f t="shared" ref="P9:P17" si="9">F9*D9</f>
        <v>5.5513181893549994</v>
      </c>
      <c r="Q9" s="49">
        <f t="shared" ref="Q9:Q17" si="10">N9/1000*$B$4</f>
        <v>0.72372740838998495</v>
      </c>
      <c r="R9" s="49">
        <f t="shared" ref="R9:R16" si="11">O9*$C$4</f>
        <v>4.7371248549162654</v>
      </c>
      <c r="S9" s="49">
        <f t="shared" ref="S9:S17" si="12">P9+Q9+R9</f>
        <v>11.01217045266125</v>
      </c>
      <c r="U9" s="89" t="s">
        <v>184</v>
      </c>
      <c r="V9" s="25" t="s">
        <v>186</v>
      </c>
      <c r="W9" s="49">
        <f>V4</f>
        <v>1</v>
      </c>
      <c r="X9" s="47">
        <v>2.1800000000000002</v>
      </c>
      <c r="Y9" s="47">
        <v>2.1800000000000002</v>
      </c>
      <c r="Z9" s="47">
        <v>3.89</v>
      </c>
      <c r="AA9" s="47">
        <v>3.88</v>
      </c>
      <c r="AB9" s="47">
        <v>0.69</v>
      </c>
      <c r="AC9" s="47">
        <v>0.69</v>
      </c>
      <c r="AD9" s="47">
        <v>7.0000000000000007E-2</v>
      </c>
      <c r="AE9" s="47">
        <v>1.97</v>
      </c>
      <c r="AF9" s="51">
        <f>AVERAGE(X9:AE9)</f>
        <v>1.9437499999999999</v>
      </c>
      <c r="AI9" s="4" t="s">
        <v>201</v>
      </c>
      <c r="AJ9" s="14">
        <v>1</v>
      </c>
      <c r="AK9" s="14">
        <v>0</v>
      </c>
      <c r="AL9" s="14">
        <v>0</v>
      </c>
      <c r="AM9" s="14">
        <v>0</v>
      </c>
      <c r="AN9" s="14">
        <v>0</v>
      </c>
      <c r="AO9" s="14">
        <v>0</v>
      </c>
      <c r="AP9" s="14">
        <v>0</v>
      </c>
      <c r="AQ9" s="14">
        <v>0</v>
      </c>
      <c r="AR9" s="14">
        <v>0</v>
      </c>
      <c r="AS9" s="14">
        <f t="shared" si="1"/>
        <v>0</v>
      </c>
    </row>
    <row r="10" spans="2:45">
      <c r="B10" s="45">
        <f>+B9+1</f>
        <v>2</v>
      </c>
      <c r="C10" s="45" t="s">
        <v>45</v>
      </c>
      <c r="D10" s="47">
        <v>2.1356325650804173</v>
      </c>
      <c r="E10" s="45">
        <f t="shared" ref="E10:E15" si="13">H10*12+I10*1+J10*16</f>
        <v>46</v>
      </c>
      <c r="F10" s="45">
        <v>0.5</v>
      </c>
      <c r="G10" s="45" t="s">
        <v>176</v>
      </c>
      <c r="H10" s="45">
        <v>1</v>
      </c>
      <c r="I10" s="45">
        <v>2</v>
      </c>
      <c r="J10" s="45">
        <v>2</v>
      </c>
      <c r="K10" s="46">
        <f t="shared" si="4"/>
        <v>1</v>
      </c>
      <c r="L10" s="46">
        <f t="shared" si="5"/>
        <v>1</v>
      </c>
      <c r="M10" s="46">
        <f t="shared" si="6"/>
        <v>0.5</v>
      </c>
      <c r="N10" s="49">
        <f t="shared" si="7"/>
        <v>2.0427789752943122</v>
      </c>
      <c r="O10" s="49">
        <f t="shared" si="8"/>
        <v>0.74282871828884078</v>
      </c>
      <c r="P10" s="49">
        <f t="shared" si="9"/>
        <v>1.0678162825402087</v>
      </c>
      <c r="Q10" s="49">
        <f t="shared" si="10"/>
        <v>8.1711159011772491E-2</v>
      </c>
      <c r="R10" s="49">
        <f t="shared" si="11"/>
        <v>0.26741833858398267</v>
      </c>
      <c r="S10" s="49">
        <f t="shared" si="12"/>
        <v>1.416945780135964</v>
      </c>
      <c r="U10" s="90"/>
      <c r="V10" s="25" t="s">
        <v>187</v>
      </c>
      <c r="W10" s="49">
        <f>W4</f>
        <v>1</v>
      </c>
      <c r="X10" s="47">
        <v>2.5299999999999998</v>
      </c>
      <c r="Y10" s="47">
        <v>2.84</v>
      </c>
      <c r="Z10" s="47">
        <v>4.22</v>
      </c>
      <c r="AA10" s="47">
        <v>3.94</v>
      </c>
      <c r="AB10" s="47">
        <v>2.57</v>
      </c>
      <c r="AC10" s="47">
        <v>2.57</v>
      </c>
      <c r="AD10" s="47">
        <v>0.82</v>
      </c>
      <c r="AE10" s="47">
        <v>2.2200000000000002</v>
      </c>
      <c r="AF10" s="51">
        <f t="shared" ref="AF10:AF17" si="14">AVERAGE(X10:AE10)</f>
        <v>2.7137499999999997</v>
      </c>
      <c r="AI10" s="4" t="s">
        <v>202</v>
      </c>
      <c r="AJ10" s="14">
        <v>1</v>
      </c>
      <c r="AK10" s="14">
        <v>0</v>
      </c>
      <c r="AL10" s="14">
        <v>0</v>
      </c>
      <c r="AM10" s="14">
        <v>0</v>
      </c>
      <c r="AN10" s="14">
        <v>0</v>
      </c>
      <c r="AO10" s="14">
        <v>0</v>
      </c>
      <c r="AP10" s="14">
        <v>0</v>
      </c>
      <c r="AQ10" s="14">
        <v>0</v>
      </c>
      <c r="AR10" s="14">
        <v>0</v>
      </c>
      <c r="AS10" s="14">
        <f t="shared" si="1"/>
        <v>0</v>
      </c>
    </row>
    <row r="11" spans="2:45">
      <c r="B11" s="45">
        <f t="shared" ref="B11:B18" si="15">+B10+1</f>
        <v>3</v>
      </c>
      <c r="C11" s="45" t="s">
        <v>46</v>
      </c>
      <c r="D11" s="47">
        <v>4.2182059359973465</v>
      </c>
      <c r="E11" s="45">
        <f t="shared" si="13"/>
        <v>96</v>
      </c>
      <c r="F11" s="45">
        <v>1.2</v>
      </c>
      <c r="G11" s="45" t="s">
        <v>176</v>
      </c>
      <c r="H11" s="45">
        <v>5</v>
      </c>
      <c r="I11" s="45">
        <v>4</v>
      </c>
      <c r="J11" s="45">
        <v>2</v>
      </c>
      <c r="K11" s="46">
        <f t="shared" si="4"/>
        <v>2</v>
      </c>
      <c r="L11" s="46">
        <f t="shared" si="5"/>
        <v>5</v>
      </c>
      <c r="M11" s="46">
        <f t="shared" si="6"/>
        <v>5</v>
      </c>
      <c r="N11" s="49">
        <f t="shared" si="7"/>
        <v>9.6667219366605863</v>
      </c>
      <c r="O11" s="49">
        <f t="shared" si="8"/>
        <v>7.0303432266622448</v>
      </c>
      <c r="P11" s="49">
        <f t="shared" si="9"/>
        <v>5.0618471231968156</v>
      </c>
      <c r="Q11" s="49">
        <f t="shared" si="10"/>
        <v>0.38666887746642342</v>
      </c>
      <c r="R11" s="49">
        <f t="shared" si="11"/>
        <v>2.5309235615984078</v>
      </c>
      <c r="S11" s="49">
        <f t="shared" si="12"/>
        <v>7.9794395622616463</v>
      </c>
      <c r="U11" s="90"/>
      <c r="V11" s="25" t="s">
        <v>188</v>
      </c>
      <c r="W11" s="49">
        <f>X4</f>
        <v>1</v>
      </c>
      <c r="X11" s="47">
        <v>1.99</v>
      </c>
      <c r="Y11" s="47">
        <v>1.68</v>
      </c>
      <c r="Z11" s="47">
        <v>2.14</v>
      </c>
      <c r="AA11" s="47">
        <v>2.2400000000000002</v>
      </c>
      <c r="AB11" s="47">
        <v>2.02</v>
      </c>
      <c r="AC11" s="47">
        <v>2.02</v>
      </c>
      <c r="AD11" s="47">
        <v>1.99</v>
      </c>
      <c r="AE11" s="47">
        <v>1.77</v>
      </c>
      <c r="AF11" s="51">
        <f t="shared" si="14"/>
        <v>1.98125</v>
      </c>
      <c r="AI11" s="4" t="s">
        <v>203</v>
      </c>
      <c r="AJ11" s="14">
        <v>1</v>
      </c>
      <c r="AK11" s="14">
        <v>0</v>
      </c>
      <c r="AL11" s="14">
        <v>0</v>
      </c>
      <c r="AM11" s="14">
        <v>0</v>
      </c>
      <c r="AN11" s="14">
        <v>0</v>
      </c>
      <c r="AO11" s="14">
        <v>0</v>
      </c>
      <c r="AP11" s="14">
        <v>0</v>
      </c>
      <c r="AQ11" s="14">
        <v>0</v>
      </c>
      <c r="AR11" s="14">
        <v>0</v>
      </c>
      <c r="AS11" s="14">
        <f t="shared" si="1"/>
        <v>0</v>
      </c>
    </row>
    <row r="12" spans="2:45">
      <c r="B12" s="45">
        <f t="shared" si="15"/>
        <v>4</v>
      </c>
      <c r="C12" s="45" t="s">
        <v>47</v>
      </c>
      <c r="D12" s="47">
        <v>0.62676173105620958</v>
      </c>
      <c r="E12" s="45">
        <f t="shared" si="13"/>
        <v>126</v>
      </c>
      <c r="F12" s="45">
        <v>10</v>
      </c>
      <c r="G12" s="45" t="s">
        <v>176</v>
      </c>
      <c r="H12" s="45">
        <v>6</v>
      </c>
      <c r="I12" s="45">
        <v>6</v>
      </c>
      <c r="J12" s="45">
        <v>3</v>
      </c>
      <c r="K12" s="46">
        <f t="shared" si="4"/>
        <v>3</v>
      </c>
      <c r="L12" s="46">
        <f t="shared" si="5"/>
        <v>6</v>
      </c>
      <c r="M12" s="46">
        <f t="shared" si="6"/>
        <v>6</v>
      </c>
      <c r="N12" s="49">
        <f t="shared" si="7"/>
        <v>1.313215055546344</v>
      </c>
      <c r="O12" s="49">
        <f t="shared" si="8"/>
        <v>0.95506549494279558</v>
      </c>
      <c r="P12" s="49">
        <f t="shared" si="9"/>
        <v>6.2676173105620956</v>
      </c>
      <c r="Q12" s="49">
        <f t="shared" si="10"/>
        <v>5.2528602221853758E-2</v>
      </c>
      <c r="R12" s="49">
        <f t="shared" si="11"/>
        <v>0.3438235781794064</v>
      </c>
      <c r="S12" s="49">
        <f t="shared" si="12"/>
        <v>6.6639694909633551</v>
      </c>
      <c r="U12" s="90"/>
      <c r="V12" s="25" t="s">
        <v>189</v>
      </c>
      <c r="W12" s="49">
        <f>Z4</f>
        <v>1</v>
      </c>
      <c r="X12" s="47">
        <v>-0.22</v>
      </c>
      <c r="Y12" s="47">
        <v>-0.39</v>
      </c>
      <c r="Z12" s="47">
        <v>-0.84</v>
      </c>
      <c r="AA12" s="47">
        <v>-2.59</v>
      </c>
      <c r="AB12" s="47">
        <v>-1.39</v>
      </c>
      <c r="AC12" s="47">
        <v>-1.39</v>
      </c>
      <c r="AD12" s="47">
        <v>-1.25</v>
      </c>
      <c r="AE12" s="47">
        <v>0.73</v>
      </c>
      <c r="AF12" s="51">
        <f t="shared" si="14"/>
        <v>-0.91749999999999998</v>
      </c>
    </row>
    <row r="13" spans="2:45">
      <c r="B13" s="45">
        <f t="shared" si="15"/>
        <v>5</v>
      </c>
      <c r="C13" s="45" t="s">
        <v>48</v>
      </c>
      <c r="D13" s="47">
        <v>58.199303598076604</v>
      </c>
      <c r="E13" s="45">
        <f t="shared" si="13"/>
        <v>150</v>
      </c>
      <c r="F13" s="45">
        <v>3.7</v>
      </c>
      <c r="G13" s="45" t="s">
        <v>176</v>
      </c>
      <c r="H13" s="45">
        <v>5</v>
      </c>
      <c r="I13" s="45">
        <v>10</v>
      </c>
      <c r="J13" s="45">
        <v>5</v>
      </c>
      <c r="K13" s="46">
        <f t="shared" si="4"/>
        <v>5</v>
      </c>
      <c r="L13" s="46">
        <f t="shared" si="5"/>
        <v>5</v>
      </c>
      <c r="M13" s="46">
        <f t="shared" si="6"/>
        <v>5</v>
      </c>
      <c r="N13" s="49">
        <f t="shared" si="7"/>
        <v>85.358978610512352</v>
      </c>
      <c r="O13" s="49">
        <f t="shared" si="8"/>
        <v>62.079257171281711</v>
      </c>
      <c r="P13" s="49">
        <f t="shared" si="9"/>
        <v>215.33742331288343</v>
      </c>
      <c r="Q13" s="49">
        <f t="shared" si="10"/>
        <v>3.4143591444204939</v>
      </c>
      <c r="R13" s="49">
        <f t="shared" si="11"/>
        <v>22.348532581661416</v>
      </c>
      <c r="S13" s="49">
        <f t="shared" si="12"/>
        <v>241.10031503896533</v>
      </c>
      <c r="U13" s="91"/>
      <c r="V13" s="25" t="s">
        <v>190</v>
      </c>
      <c r="W13" s="49">
        <f>AA4</f>
        <v>1</v>
      </c>
      <c r="X13" s="47">
        <v>3.1</v>
      </c>
      <c r="Y13" s="47">
        <v>3.73</v>
      </c>
      <c r="Z13" s="47">
        <v>3.68</v>
      </c>
      <c r="AA13" s="47">
        <v>2.89</v>
      </c>
      <c r="AB13" s="47">
        <v>5.0999999999999996</v>
      </c>
      <c r="AC13" s="47">
        <v>5.0999999999999996</v>
      </c>
      <c r="AD13" s="47">
        <v>5.95</v>
      </c>
      <c r="AE13" s="47">
        <v>2.21</v>
      </c>
      <c r="AF13" s="51">
        <f t="shared" si="14"/>
        <v>3.97</v>
      </c>
    </row>
    <row r="14" spans="2:45" ht="15.75" customHeight="1">
      <c r="B14" s="45">
        <f t="shared" si="15"/>
        <v>6</v>
      </c>
      <c r="C14" s="45" t="s">
        <v>49</v>
      </c>
      <c r="D14" s="47">
        <v>8.4563090698060019</v>
      </c>
      <c r="E14" s="45">
        <f t="shared" si="13"/>
        <v>150</v>
      </c>
      <c r="F14" s="45">
        <v>27.5</v>
      </c>
      <c r="G14" s="45" t="s">
        <v>176</v>
      </c>
      <c r="H14" s="45">
        <v>5</v>
      </c>
      <c r="I14" s="45">
        <v>10</v>
      </c>
      <c r="J14" s="45">
        <v>5</v>
      </c>
      <c r="K14" s="46">
        <f t="shared" si="4"/>
        <v>5</v>
      </c>
      <c r="L14" s="46">
        <f t="shared" si="5"/>
        <v>5</v>
      </c>
      <c r="M14" s="46">
        <f t="shared" si="6"/>
        <v>5</v>
      </c>
      <c r="N14" s="49">
        <f t="shared" si="7"/>
        <v>12.402586635715471</v>
      </c>
      <c r="O14" s="49">
        <f t="shared" si="8"/>
        <v>9.0200630077930697</v>
      </c>
      <c r="P14" s="49">
        <f t="shared" si="9"/>
        <v>232.54849941966506</v>
      </c>
      <c r="Q14" s="49">
        <f t="shared" si="10"/>
        <v>0.49610346542861883</v>
      </c>
      <c r="R14" s="49">
        <f t="shared" si="11"/>
        <v>3.2472226828055049</v>
      </c>
      <c r="S14" s="49">
        <f t="shared" si="12"/>
        <v>236.2918255678992</v>
      </c>
      <c r="U14" s="89" t="s">
        <v>185</v>
      </c>
      <c r="V14" s="25" t="s">
        <v>191</v>
      </c>
      <c r="W14" s="49">
        <f>AB4</f>
        <v>1</v>
      </c>
      <c r="X14" s="47">
        <v>0.08</v>
      </c>
      <c r="Y14" s="47">
        <v>-0.15</v>
      </c>
      <c r="Z14" s="47">
        <v>-0.77</v>
      </c>
      <c r="AA14" s="47">
        <v>-1.1100000000000001</v>
      </c>
      <c r="AB14" s="47">
        <v>0.17</v>
      </c>
      <c r="AC14" s="47">
        <v>0.17</v>
      </c>
      <c r="AD14" s="47">
        <v>0.2</v>
      </c>
      <c r="AE14" s="47">
        <v>0.2</v>
      </c>
      <c r="AF14" s="51">
        <f t="shared" si="14"/>
        <v>-0.15125000000000005</v>
      </c>
    </row>
    <row r="15" spans="2:45">
      <c r="B15" s="45">
        <f t="shared" si="15"/>
        <v>7</v>
      </c>
      <c r="C15" s="45" t="s">
        <v>50</v>
      </c>
      <c r="D15" s="47">
        <v>14.02752445697231</v>
      </c>
      <c r="E15" s="45">
        <f t="shared" si="13"/>
        <v>180</v>
      </c>
      <c r="F15" s="45">
        <v>0.5</v>
      </c>
      <c r="G15" s="45" t="s">
        <v>176</v>
      </c>
      <c r="H15" s="45">
        <v>6</v>
      </c>
      <c r="I15" s="45">
        <v>12</v>
      </c>
      <c r="J15" s="45">
        <v>6</v>
      </c>
      <c r="K15" s="46">
        <f t="shared" si="4"/>
        <v>6</v>
      </c>
      <c r="L15" s="46">
        <f t="shared" si="5"/>
        <v>6</v>
      </c>
      <c r="M15" s="46">
        <f t="shared" si="6"/>
        <v>6</v>
      </c>
      <c r="N15" s="49">
        <f t="shared" si="7"/>
        <v>20.573702536892725</v>
      </c>
      <c r="O15" s="49">
        <f t="shared" si="8"/>
        <v>14.962692754103799</v>
      </c>
      <c r="P15" s="49">
        <f t="shared" si="9"/>
        <v>7.0137622284861552</v>
      </c>
      <c r="Q15" s="49">
        <f t="shared" si="10"/>
        <v>0.82294810147570896</v>
      </c>
      <c r="R15" s="49">
        <f t="shared" si="11"/>
        <v>5.3865693914773676</v>
      </c>
      <c r="S15" s="49">
        <f t="shared" si="12"/>
        <v>13.223279721439232</v>
      </c>
      <c r="U15" s="90"/>
      <c r="V15" s="25" t="s">
        <v>192</v>
      </c>
      <c r="W15" s="49">
        <f>AC4</f>
        <v>1</v>
      </c>
      <c r="X15" s="47">
        <v>0</v>
      </c>
      <c r="Y15" s="47">
        <v>0</v>
      </c>
      <c r="Z15" s="47">
        <v>0</v>
      </c>
      <c r="AA15" s="47">
        <v>0</v>
      </c>
      <c r="AB15" s="47">
        <v>0</v>
      </c>
      <c r="AC15" s="47">
        <v>0</v>
      </c>
      <c r="AD15" s="47">
        <v>0</v>
      </c>
      <c r="AE15" s="47">
        <v>0</v>
      </c>
      <c r="AF15" s="51">
        <f t="shared" si="14"/>
        <v>0</v>
      </c>
    </row>
    <row r="16" spans="2:45">
      <c r="B16" s="45">
        <f t="shared" si="15"/>
        <v>8</v>
      </c>
      <c r="C16" s="45" t="s">
        <v>51</v>
      </c>
      <c r="D16" s="47">
        <v>900</v>
      </c>
      <c r="E16" s="45">
        <v>18</v>
      </c>
      <c r="F16" s="45">
        <v>2.7699999999999999E-3</v>
      </c>
      <c r="G16" s="45" t="s">
        <v>177</v>
      </c>
      <c r="H16" s="45">
        <v>0</v>
      </c>
      <c r="I16" s="45">
        <v>0</v>
      </c>
      <c r="J16" s="45">
        <v>0</v>
      </c>
      <c r="K16" s="46">
        <f t="shared" si="4"/>
        <v>0</v>
      </c>
      <c r="L16" s="46">
        <f t="shared" si="5"/>
        <v>0</v>
      </c>
      <c r="M16" s="46">
        <f t="shared" si="6"/>
        <v>0</v>
      </c>
      <c r="N16" s="49">
        <f t="shared" si="7"/>
        <v>0</v>
      </c>
      <c r="O16" s="49">
        <f t="shared" si="8"/>
        <v>0</v>
      </c>
      <c r="P16" s="49">
        <f t="shared" si="9"/>
        <v>2.4929999999999999</v>
      </c>
      <c r="Q16" s="49">
        <f t="shared" si="10"/>
        <v>0</v>
      </c>
      <c r="R16" s="49">
        <f t="shared" si="11"/>
        <v>0</v>
      </c>
      <c r="S16" s="49">
        <f t="shared" si="12"/>
        <v>2.4929999999999999</v>
      </c>
      <c r="U16" s="90"/>
      <c r="V16" s="25" t="s">
        <v>193</v>
      </c>
      <c r="W16" s="49">
        <f>AC4</f>
        <v>1</v>
      </c>
      <c r="X16" s="47">
        <v>0</v>
      </c>
      <c r="Y16" s="47">
        <v>0</v>
      </c>
      <c r="Z16" s="47">
        <v>0</v>
      </c>
      <c r="AA16" s="47">
        <v>0</v>
      </c>
      <c r="AB16" s="47">
        <v>0</v>
      </c>
      <c r="AC16" s="47">
        <v>0</v>
      </c>
      <c r="AD16" s="47">
        <v>0</v>
      </c>
      <c r="AE16" s="47">
        <v>0</v>
      </c>
      <c r="AF16" s="51">
        <f t="shared" si="14"/>
        <v>0</v>
      </c>
    </row>
    <row r="17" spans="2:32">
      <c r="B17" s="45">
        <f t="shared" si="15"/>
        <v>9</v>
      </c>
      <c r="C17" s="45" t="s">
        <v>102</v>
      </c>
      <c r="D17" s="47">
        <v>41.148399933676004</v>
      </c>
      <c r="E17" s="45">
        <v>46</v>
      </c>
      <c r="F17" s="45">
        <v>1.51</v>
      </c>
      <c r="G17" s="45" t="s">
        <v>176</v>
      </c>
      <c r="H17" s="45">
        <v>2</v>
      </c>
      <c r="I17" s="45">
        <v>6</v>
      </c>
      <c r="J17" s="45">
        <v>1</v>
      </c>
      <c r="K17" s="46">
        <f t="shared" si="4"/>
        <v>3</v>
      </c>
      <c r="L17" s="46">
        <f t="shared" si="5"/>
        <v>2</v>
      </c>
      <c r="M17" s="46">
        <f t="shared" si="6"/>
        <v>3</v>
      </c>
      <c r="N17" s="49">
        <f t="shared" si="7"/>
        <v>78.718678133988874</v>
      </c>
      <c r="O17" s="49">
        <f t="shared" si="8"/>
        <v>85.87492160071514</v>
      </c>
      <c r="P17" s="49">
        <f t="shared" si="9"/>
        <v>62.134083899850765</v>
      </c>
      <c r="Q17" s="49">
        <f t="shared" si="10"/>
        <v>3.1487471253595549</v>
      </c>
      <c r="R17" s="49">
        <f>O17*$C$4</f>
        <v>30.914971776257449</v>
      </c>
      <c r="S17" s="49">
        <f t="shared" si="12"/>
        <v>96.197802801467759</v>
      </c>
      <c r="U17" s="91"/>
      <c r="V17" s="25" t="s">
        <v>194</v>
      </c>
      <c r="W17" s="49">
        <f>AD4</f>
        <v>1</v>
      </c>
      <c r="X17" s="47">
        <v>0</v>
      </c>
      <c r="Y17" s="47">
        <v>0</v>
      </c>
      <c r="Z17" s="47">
        <v>0</v>
      </c>
      <c r="AA17" s="47">
        <v>0</v>
      </c>
      <c r="AB17" s="47">
        <v>0</v>
      </c>
      <c r="AC17" s="47">
        <v>0</v>
      </c>
      <c r="AD17" s="47">
        <v>0</v>
      </c>
      <c r="AE17" s="47">
        <v>0</v>
      </c>
      <c r="AF17" s="51">
        <f t="shared" si="14"/>
        <v>0</v>
      </c>
    </row>
    <row r="18" spans="2:32">
      <c r="B18" s="45">
        <f t="shared" si="15"/>
        <v>10</v>
      </c>
      <c r="C18" s="45"/>
      <c r="D18" s="45"/>
      <c r="E18" s="45"/>
      <c r="F18" s="45"/>
      <c r="G18" s="45"/>
      <c r="H18" s="45"/>
      <c r="I18" s="45"/>
      <c r="J18" s="45"/>
      <c r="K18" s="46"/>
      <c r="L18" s="46"/>
      <c r="M18" s="46"/>
      <c r="N18" s="49"/>
      <c r="O18" s="49"/>
      <c r="P18" s="49"/>
      <c r="Q18" s="49"/>
      <c r="R18" s="49"/>
      <c r="S18" s="49"/>
      <c r="W18" s="14"/>
      <c r="X18" s="14"/>
      <c r="Y18" s="14"/>
      <c r="Z18" s="14"/>
      <c r="AA18" s="14"/>
      <c r="AB18" s="14"/>
      <c r="AC18" s="14"/>
      <c r="AD18" s="14"/>
      <c r="AE18" s="14"/>
      <c r="AF18" s="14"/>
    </row>
    <row r="19" spans="2:32" ht="15.75" customHeight="1"/>
    <row r="21" spans="2:32">
      <c r="U21" s="85" t="s">
        <v>217</v>
      </c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53"/>
    </row>
    <row r="22" spans="2:32">
      <c r="B22" s="85" t="s">
        <v>183</v>
      </c>
      <c r="C22" s="86"/>
      <c r="D22" s="88"/>
      <c r="U22" s="25" t="s">
        <v>215</v>
      </c>
      <c r="V22" s="25" t="s">
        <v>216</v>
      </c>
      <c r="W22" s="49" t="s">
        <v>205</v>
      </c>
      <c r="X22" s="49" t="s">
        <v>44</v>
      </c>
      <c r="Y22" s="49" t="s">
        <v>45</v>
      </c>
      <c r="Z22" s="49" t="s">
        <v>46</v>
      </c>
      <c r="AA22" s="49" t="s">
        <v>47</v>
      </c>
      <c r="AB22" s="49" t="s">
        <v>48</v>
      </c>
      <c r="AC22" s="49" t="s">
        <v>49</v>
      </c>
      <c r="AD22" s="49" t="s">
        <v>50</v>
      </c>
      <c r="AE22" s="49" t="s">
        <v>102</v>
      </c>
    </row>
    <row r="23" spans="2:32">
      <c r="B23" s="25" t="s">
        <v>159</v>
      </c>
      <c r="C23" s="25" t="s">
        <v>160</v>
      </c>
      <c r="D23" s="25" t="s">
        <v>158</v>
      </c>
      <c r="U23" s="89" t="s">
        <v>184</v>
      </c>
      <c r="V23" s="25" t="s">
        <v>186</v>
      </c>
      <c r="W23" s="49">
        <f>W9</f>
        <v>1</v>
      </c>
      <c r="X23" s="49">
        <f t="shared" ref="X23:AE28" si="16">$W$23*AK3/$AS3</f>
        <v>7.6853658880613199E-2</v>
      </c>
      <c r="Y23" s="49">
        <f t="shared" si="16"/>
        <v>7.6853658880613199E-2</v>
      </c>
      <c r="Z23" s="49">
        <f t="shared" si="16"/>
        <v>3.9415273858311588</v>
      </c>
      <c r="AA23" s="49">
        <f t="shared" si="16"/>
        <v>3.8518072688508567</v>
      </c>
      <c r="AB23" s="49">
        <f t="shared" si="16"/>
        <v>2.4869356525599818E-3</v>
      </c>
      <c r="AC23" s="49">
        <f t="shared" si="16"/>
        <v>2.4869356525599818E-3</v>
      </c>
      <c r="AD23" s="49">
        <f t="shared" si="16"/>
        <v>5.9657431108441007E-4</v>
      </c>
      <c r="AE23" s="49">
        <f t="shared" si="16"/>
        <v>4.7387581940553425E-2</v>
      </c>
    </row>
    <row r="24" spans="2:32">
      <c r="B24" s="46">
        <v>1</v>
      </c>
      <c r="C24" s="46" t="str">
        <f t="shared" ref="C24:C31" si="17">C9</f>
        <v>Acetic acid</v>
      </c>
      <c r="D24" s="50" t="str">
        <f t="shared" ref="D24:D32" si="18">IF(S9&gt;$D$4,S9,"Insufficient")</f>
        <v>Insufficient</v>
      </c>
      <c r="U24" s="90"/>
      <c r="V24" s="25" t="s">
        <v>187</v>
      </c>
      <c r="W24" s="49">
        <f t="shared" ref="W24:W31" si="19">W10</f>
        <v>1</v>
      </c>
      <c r="X24" s="49">
        <f t="shared" si="16"/>
        <v>9.9470553843823889E-2</v>
      </c>
      <c r="Y24" s="49">
        <f t="shared" si="16"/>
        <v>0.20309280416022885</v>
      </c>
      <c r="Z24" s="49">
        <f t="shared" si="16"/>
        <v>4.871857042355356</v>
      </c>
      <c r="AA24" s="49">
        <f t="shared" si="16"/>
        <v>2.5567869210984853</v>
      </c>
      <c r="AB24" s="49">
        <f t="shared" si="16"/>
        <v>0.10906729344803963</v>
      </c>
      <c r="AC24" s="49">
        <f t="shared" si="16"/>
        <v>0.10906729344803963</v>
      </c>
      <c r="AD24" s="49">
        <f t="shared" si="16"/>
        <v>1.9395212224732196E-3</v>
      </c>
      <c r="AE24" s="49">
        <f t="shared" si="16"/>
        <v>4.8718570423553577E-2</v>
      </c>
    </row>
    <row r="25" spans="2:32" ht="15.75" customHeight="1">
      <c r="B25" s="46">
        <f t="shared" ref="B25:B33" si="20">+B24+1</f>
        <v>2</v>
      </c>
      <c r="C25" s="46" t="str">
        <f t="shared" si="17"/>
        <v>Formic acid</v>
      </c>
      <c r="D25" s="50" t="str">
        <f t="shared" si="18"/>
        <v>Insufficient</v>
      </c>
      <c r="H25" s="4" t="s">
        <v>178</v>
      </c>
      <c r="U25" s="90"/>
      <c r="V25" s="25" t="s">
        <v>188</v>
      </c>
      <c r="W25" s="49">
        <f t="shared" si="19"/>
        <v>1</v>
      </c>
      <c r="X25" s="49">
        <f t="shared" si="16"/>
        <v>0.94942034659209584</v>
      </c>
      <c r="Y25" s="49">
        <f t="shared" si="16"/>
        <v>0.46500597643825764</v>
      </c>
      <c r="Z25" s="49">
        <f t="shared" si="16"/>
        <v>1.3410918851900837</v>
      </c>
      <c r="AA25" s="49">
        <f t="shared" si="16"/>
        <v>1.6883346538167421</v>
      </c>
      <c r="AB25" s="49">
        <f t="shared" si="16"/>
        <v>1.0173222301588096</v>
      </c>
      <c r="AC25" s="49">
        <f t="shared" si="16"/>
        <v>1.0173222301588096</v>
      </c>
      <c r="AD25" s="49">
        <f t="shared" si="16"/>
        <v>0.94942034659209584</v>
      </c>
      <c r="AE25" s="49">
        <f t="shared" si="16"/>
        <v>0.57208233105310669</v>
      </c>
    </row>
    <row r="26" spans="2:32">
      <c r="B26" s="46">
        <f t="shared" si="20"/>
        <v>3</v>
      </c>
      <c r="C26" s="46" t="str">
        <f t="shared" si="17"/>
        <v>Furfural</v>
      </c>
      <c r="D26" s="50" t="str">
        <f t="shared" si="18"/>
        <v>Insufficient</v>
      </c>
      <c r="U26" s="90"/>
      <c r="V26" s="25" t="s">
        <v>189</v>
      </c>
      <c r="W26" s="49">
        <f t="shared" si="19"/>
        <v>1</v>
      </c>
      <c r="X26" s="49">
        <f t="shared" si="16"/>
        <v>2.8421177336102721E-2</v>
      </c>
      <c r="Y26" s="49">
        <f t="shared" si="16"/>
        <v>4.2038001799445682E-2</v>
      </c>
      <c r="Z26" s="49">
        <f t="shared" si="16"/>
        <v>0.11847918673602213</v>
      </c>
      <c r="AA26" s="49">
        <f t="shared" si="16"/>
        <v>6.6625742876609504</v>
      </c>
      <c r="AB26" s="49">
        <f t="shared" si="16"/>
        <v>0.42038001799445684</v>
      </c>
      <c r="AC26" s="49">
        <f t="shared" si="16"/>
        <v>0.42038001799445684</v>
      </c>
      <c r="AD26" s="49">
        <f t="shared" si="16"/>
        <v>0.30453840193215603</v>
      </c>
      <c r="AE26" s="49">
        <f t="shared" si="16"/>
        <v>3.1889085464095962E-3</v>
      </c>
    </row>
    <row r="27" spans="2:32">
      <c r="B27" s="46">
        <f t="shared" si="20"/>
        <v>4</v>
      </c>
      <c r="C27" s="46" t="str">
        <f t="shared" si="17"/>
        <v>HMF</v>
      </c>
      <c r="D27" s="50" t="str">
        <f t="shared" si="18"/>
        <v>Insufficient</v>
      </c>
      <c r="U27" s="91"/>
      <c r="V27" s="25" t="s">
        <v>190</v>
      </c>
      <c r="W27" s="49">
        <f t="shared" si="19"/>
        <v>1</v>
      </c>
      <c r="X27" s="49">
        <f t="shared" si="16"/>
        <v>8.7168863812991503E-3</v>
      </c>
      <c r="Y27" s="49">
        <f t="shared" si="16"/>
        <v>3.7184451979827449E-2</v>
      </c>
      <c r="Z27" s="49">
        <f t="shared" si="16"/>
        <v>3.3140677711010438E-2</v>
      </c>
      <c r="AA27" s="49">
        <f t="shared" si="16"/>
        <v>5.3747885745034788E-3</v>
      </c>
      <c r="AB27" s="49">
        <f t="shared" si="16"/>
        <v>0.87168863812991537</v>
      </c>
      <c r="AC27" s="49">
        <f t="shared" si="16"/>
        <v>0.87168863812991537</v>
      </c>
      <c r="AD27" s="49">
        <f t="shared" si="16"/>
        <v>6.1710829665962423</v>
      </c>
      <c r="AE27" s="49">
        <f t="shared" si="16"/>
        <v>1.122952497286861E-3</v>
      </c>
    </row>
    <row r="28" spans="2:32">
      <c r="B28" s="46">
        <f t="shared" si="20"/>
        <v>5</v>
      </c>
      <c r="C28" s="46" t="str">
        <f t="shared" si="17"/>
        <v>Xylose</v>
      </c>
      <c r="D28" s="50">
        <f t="shared" si="18"/>
        <v>241.10031503896533</v>
      </c>
      <c r="U28" s="89" t="s">
        <v>185</v>
      </c>
      <c r="V28" s="25" t="s">
        <v>191</v>
      </c>
      <c r="W28" s="49">
        <f t="shared" si="19"/>
        <v>1</v>
      </c>
      <c r="X28" s="49">
        <f t="shared" si="16"/>
        <v>1.1608143014101608</v>
      </c>
      <c r="Y28" s="49">
        <f t="shared" si="16"/>
        <v>0.68353813643140349</v>
      </c>
      <c r="Z28" s="49">
        <f t="shared" si="16"/>
        <v>0.16396937830768862</v>
      </c>
      <c r="AA28" s="49">
        <f t="shared" si="16"/>
        <v>7.4948466282937928E-2</v>
      </c>
      <c r="AB28" s="49">
        <f t="shared" si="16"/>
        <v>1.428113583737312</v>
      </c>
      <c r="AC28" s="49">
        <f t="shared" si="16"/>
        <v>1.428113583737312</v>
      </c>
      <c r="AD28" s="49">
        <f t="shared" si="16"/>
        <v>1.5302512750465926</v>
      </c>
      <c r="AE28" s="49">
        <f t="shared" si="16"/>
        <v>1.5302512750465926</v>
      </c>
    </row>
    <row r="29" spans="2:32">
      <c r="B29" s="46">
        <f t="shared" si="20"/>
        <v>6</v>
      </c>
      <c r="C29" s="46" t="str">
        <f t="shared" si="17"/>
        <v>Arabinose</v>
      </c>
      <c r="D29" s="50">
        <f t="shared" si="18"/>
        <v>236.2918255678992</v>
      </c>
      <c r="U29" s="90"/>
      <c r="V29" s="25" t="s">
        <v>192</v>
      </c>
      <c r="W29" s="49">
        <f t="shared" si="19"/>
        <v>1</v>
      </c>
      <c r="X29" s="49">
        <f t="shared" ref="X29:AE29" si="21">$W$23*AK9/$AS$3</f>
        <v>0</v>
      </c>
      <c r="Y29" s="49">
        <f t="shared" si="21"/>
        <v>0</v>
      </c>
      <c r="Z29" s="49">
        <f t="shared" si="21"/>
        <v>0</v>
      </c>
      <c r="AA29" s="49">
        <f t="shared" si="21"/>
        <v>0</v>
      </c>
      <c r="AB29" s="49">
        <f t="shared" si="21"/>
        <v>0</v>
      </c>
      <c r="AC29" s="49">
        <f t="shared" si="21"/>
        <v>0</v>
      </c>
      <c r="AD29" s="49">
        <f t="shared" si="21"/>
        <v>0</v>
      </c>
      <c r="AE29" s="49">
        <f t="shared" si="21"/>
        <v>0</v>
      </c>
      <c r="AF29" s="14"/>
    </row>
    <row r="30" spans="2:32" ht="15.75" customHeight="1">
      <c r="B30" s="46">
        <f t="shared" si="20"/>
        <v>7</v>
      </c>
      <c r="C30" s="46" t="str">
        <f t="shared" si="17"/>
        <v>Glucose</v>
      </c>
      <c r="D30" s="50" t="str">
        <f t="shared" si="18"/>
        <v>Insufficient</v>
      </c>
      <c r="U30" s="90"/>
      <c r="V30" s="25" t="s">
        <v>193</v>
      </c>
      <c r="W30" s="49">
        <f t="shared" si="19"/>
        <v>1</v>
      </c>
      <c r="X30" s="49">
        <f t="shared" ref="X30:AD30" si="22">IF($M$10,$D$32*X16/$M$10,0)</f>
        <v>0</v>
      </c>
      <c r="Y30" s="49">
        <f t="shared" si="22"/>
        <v>0</v>
      </c>
      <c r="Z30" s="49">
        <f t="shared" si="22"/>
        <v>0</v>
      </c>
      <c r="AA30" s="49">
        <f t="shared" si="22"/>
        <v>0</v>
      </c>
      <c r="AB30" s="49">
        <f t="shared" si="22"/>
        <v>0</v>
      </c>
      <c r="AC30" s="49">
        <f t="shared" si="22"/>
        <v>0</v>
      </c>
      <c r="AD30" s="49">
        <f t="shared" si="22"/>
        <v>0</v>
      </c>
      <c r="AE30" s="49">
        <f t="shared" ref="AE30:AE31" si="23">$W$23*AR10/$AS$3</f>
        <v>0</v>
      </c>
      <c r="AF30" s="14"/>
    </row>
    <row r="31" spans="2:32">
      <c r="B31" s="46">
        <f t="shared" si="20"/>
        <v>8</v>
      </c>
      <c r="C31" s="46" t="str">
        <f t="shared" si="17"/>
        <v>Water</v>
      </c>
      <c r="D31" s="50" t="str">
        <f t="shared" si="18"/>
        <v>Insufficient</v>
      </c>
      <c r="U31" s="91"/>
      <c r="V31" s="25" t="s">
        <v>194</v>
      </c>
      <c r="W31" s="49">
        <f t="shared" si="19"/>
        <v>1</v>
      </c>
      <c r="X31" s="49">
        <f t="shared" ref="X31:AD31" si="24">IF($M$11,$D$33*X17/$M$11,0)</f>
        <v>0</v>
      </c>
      <c r="Y31" s="49">
        <f t="shared" si="24"/>
        <v>0</v>
      </c>
      <c r="Z31" s="49">
        <f t="shared" si="24"/>
        <v>0</v>
      </c>
      <c r="AA31" s="49">
        <f t="shared" si="24"/>
        <v>0</v>
      </c>
      <c r="AB31" s="49">
        <f t="shared" si="24"/>
        <v>0</v>
      </c>
      <c r="AC31" s="49">
        <f t="shared" si="24"/>
        <v>0</v>
      </c>
      <c r="AD31" s="49">
        <f t="shared" si="24"/>
        <v>0</v>
      </c>
      <c r="AE31" s="49">
        <f t="shared" si="23"/>
        <v>0</v>
      </c>
      <c r="AF31" s="14"/>
    </row>
    <row r="32" spans="2:32">
      <c r="B32" s="46">
        <f t="shared" si="20"/>
        <v>9</v>
      </c>
      <c r="C32" s="46" t="s">
        <v>102</v>
      </c>
      <c r="D32" s="50">
        <f t="shared" si="18"/>
        <v>96.197802801467759</v>
      </c>
      <c r="AF32" s="14"/>
    </row>
    <row r="33" spans="2:32">
      <c r="B33" s="46">
        <f t="shared" si="20"/>
        <v>10</v>
      </c>
      <c r="C33" s="46"/>
      <c r="D33" s="46"/>
      <c r="AF33" s="14"/>
    </row>
    <row r="34" spans="2:32">
      <c r="U34" s="85" t="s">
        <v>217</v>
      </c>
      <c r="V34" s="86"/>
      <c r="W34" s="86"/>
      <c r="X34" s="86"/>
      <c r="Y34" s="86"/>
      <c r="Z34" s="86"/>
      <c r="AA34" s="88"/>
      <c r="AF34" s="14"/>
    </row>
    <row r="35" spans="2:32" ht="45">
      <c r="U35" s="55" t="s">
        <v>159</v>
      </c>
      <c r="V35" s="55" t="s">
        <v>204</v>
      </c>
      <c r="W35" s="55" t="s">
        <v>161</v>
      </c>
      <c r="X35" s="54" t="s">
        <v>206</v>
      </c>
      <c r="Y35" s="54" t="s">
        <v>207</v>
      </c>
      <c r="Z35" s="54" t="s">
        <v>208</v>
      </c>
      <c r="AA35" s="54" t="s">
        <v>209</v>
      </c>
      <c r="AF35" s="14"/>
    </row>
    <row r="36" spans="2:32" ht="15.75" customHeight="1">
      <c r="U36" s="46">
        <v>1</v>
      </c>
      <c r="V36" s="46" t="s">
        <v>44</v>
      </c>
      <c r="W36" s="49">
        <f>D9</f>
        <v>12.336262643011109</v>
      </c>
      <c r="X36" s="49">
        <f>SUM(X$23:X$27)</f>
        <v>1.1628826230339349</v>
      </c>
      <c r="Y36" s="49">
        <f>SUM(X$28:X$31)</f>
        <v>1.1608143014101608</v>
      </c>
      <c r="Z36" s="49">
        <f>W36*X36</f>
        <v>14.345625460740301</v>
      </c>
      <c r="AA36" s="49">
        <f>W36*Y36</f>
        <v>14.320110101959205</v>
      </c>
      <c r="AB36" s="14"/>
      <c r="AF36" s="14"/>
    </row>
    <row r="37" spans="2:32">
      <c r="U37" s="46">
        <f>+U36+1</f>
        <v>2</v>
      </c>
      <c r="V37" s="46" t="s">
        <v>45</v>
      </c>
      <c r="W37" s="49">
        <f t="shared" ref="W37:W42" si="25">D10</f>
        <v>2.1356325650804173</v>
      </c>
      <c r="X37" s="49">
        <f>SUM(Y$23:Y$27)</f>
        <v>0.82417489325837279</v>
      </c>
      <c r="Y37" s="49">
        <f>SUM(Y$28:Y$31)</f>
        <v>0.68353813643140349</v>
      </c>
      <c r="Z37" s="49">
        <f t="shared" ref="Z37:Z41" si="26">W37*X37</f>
        <v>1.7601347413642578</v>
      </c>
      <c r="AA37" s="49">
        <f t="shared" ref="AA37:AA43" si="27">W37*Y37</f>
        <v>1.4597863036372865</v>
      </c>
      <c r="AB37" s="14"/>
      <c r="AF37" s="14"/>
    </row>
    <row r="38" spans="2:32">
      <c r="U38" s="46">
        <f t="shared" ref="U38:U43" si="28">+U37+1</f>
        <v>3</v>
      </c>
      <c r="V38" s="46" t="s">
        <v>46</v>
      </c>
      <c r="W38" s="49">
        <f t="shared" si="25"/>
        <v>4.2182059359973465</v>
      </c>
      <c r="X38" s="49">
        <f>SUM(Z$23:Z$27)</f>
        <v>10.306096177823632</v>
      </c>
      <c r="Y38" s="49">
        <f>SUM(Z$28:Z$31)</f>
        <v>0.16396937830768862</v>
      </c>
      <c r="Z38" s="49">
        <f t="shared" si="26"/>
        <v>43.473236074255205</v>
      </c>
      <c r="AA38" s="49">
        <f t="shared" si="27"/>
        <v>0.69165660489928671</v>
      </c>
      <c r="AB38" s="14"/>
      <c r="AF38" s="14"/>
    </row>
    <row r="39" spans="2:32">
      <c r="U39" s="46">
        <f t="shared" si="28"/>
        <v>4</v>
      </c>
      <c r="V39" s="46" t="s">
        <v>47</v>
      </c>
      <c r="W39" s="49">
        <f t="shared" si="25"/>
        <v>0.62676173105620958</v>
      </c>
      <c r="X39" s="49">
        <f>SUM(AA$23:AA$27)</f>
        <v>14.764877920001538</v>
      </c>
      <c r="Y39" s="49">
        <f>SUM(AA$28:AA$31)</f>
        <v>7.4948466282937928E-2</v>
      </c>
      <c r="Z39" s="49">
        <f t="shared" si="26"/>
        <v>9.2540604439737706</v>
      </c>
      <c r="AA39" s="49">
        <f t="shared" si="27"/>
        <v>4.6974830467502136E-2</v>
      </c>
      <c r="AB39" s="14"/>
      <c r="AF39" s="14"/>
    </row>
    <row r="40" spans="2:32">
      <c r="U40" s="46">
        <f t="shared" si="28"/>
        <v>5</v>
      </c>
      <c r="V40" s="46" t="s">
        <v>48</v>
      </c>
      <c r="W40" s="49">
        <f t="shared" si="25"/>
        <v>58.199303598076604</v>
      </c>
      <c r="X40" s="49">
        <f>SUM(AB$23:AB$27)</f>
        <v>2.4209451153837813</v>
      </c>
      <c r="Y40" s="49">
        <f>SUM(AB$28:AB$31)</f>
        <v>1.428113583737312</v>
      </c>
      <c r="Z40" s="49">
        <f>W40*X40</f>
        <v>140.89731976450128</v>
      </c>
      <c r="AA40" s="49">
        <f t="shared" si="27"/>
        <v>83.115216032465014</v>
      </c>
      <c r="AB40" s="14"/>
      <c r="AC40" s="14"/>
      <c r="AD40" s="14"/>
      <c r="AE40" s="14"/>
      <c r="AF40" s="14"/>
    </row>
    <row r="41" spans="2:32" ht="15.75" customHeight="1">
      <c r="U41" s="46">
        <f t="shared" si="28"/>
        <v>6</v>
      </c>
      <c r="V41" s="46" t="s">
        <v>49</v>
      </c>
      <c r="W41" s="49">
        <f t="shared" si="25"/>
        <v>8.4563090698060019</v>
      </c>
      <c r="X41" s="49">
        <f>SUM(AC$23:AC$27)</f>
        <v>2.4209451153837813</v>
      </c>
      <c r="Y41" s="49">
        <f>SUM(AC$28:AC$31)</f>
        <v>1.428113583737312</v>
      </c>
      <c r="Z41" s="49">
        <f t="shared" si="26"/>
        <v>20.472260136722408</v>
      </c>
      <c r="AA41" s="49">
        <f t="shared" si="27"/>
        <v>12.076569850870985</v>
      </c>
      <c r="AB41" s="14"/>
      <c r="AC41" s="14"/>
      <c r="AD41" s="14"/>
      <c r="AE41" s="14"/>
      <c r="AF41" s="14"/>
    </row>
    <row r="42" spans="2:32">
      <c r="U42" s="46">
        <f t="shared" si="28"/>
        <v>7</v>
      </c>
      <c r="V42" s="46" t="s">
        <v>50</v>
      </c>
      <c r="W42" s="49">
        <f t="shared" si="25"/>
        <v>14.02752445697231</v>
      </c>
      <c r="X42" s="49">
        <f>SUM(AD$23:AD$27)</f>
        <v>7.4275778106540518</v>
      </c>
      <c r="Y42" s="49">
        <f>SUM(AD$28:AD$31)</f>
        <v>1.5302512750465926</v>
      </c>
      <c r="Z42" s="49">
        <f>W42*X42</f>
        <v>104.19052939501456</v>
      </c>
      <c r="AA42" s="49">
        <f t="shared" si="27"/>
        <v>21.465637186029142</v>
      </c>
      <c r="AB42" s="14"/>
      <c r="AC42" s="14"/>
      <c r="AD42" s="14"/>
      <c r="AE42" s="14"/>
      <c r="AF42" s="14"/>
    </row>
    <row r="43" spans="2:32">
      <c r="U43" s="46">
        <f t="shared" si="28"/>
        <v>8</v>
      </c>
      <c r="V43" s="46" t="s">
        <v>102</v>
      </c>
      <c r="W43" s="49">
        <f>D17</f>
        <v>41.148399933676004</v>
      </c>
      <c r="X43" s="49">
        <f>SUM(AE$23:AE$27)</f>
        <v>0.67250034446091023</v>
      </c>
      <c r="Y43" s="49">
        <f>SUM(AE$28:AE$31)</f>
        <v>1.5302512750465926</v>
      </c>
      <c r="Z43" s="49">
        <f>W43*X43</f>
        <v>27.672313129412409</v>
      </c>
      <c r="AA43" s="49">
        <f t="shared" si="27"/>
        <v>62.967391464634829</v>
      </c>
      <c r="AB43" s="14"/>
      <c r="AC43" s="14"/>
      <c r="AD43" s="14"/>
      <c r="AE43" s="14"/>
      <c r="AF43" s="14"/>
    </row>
    <row r="44" spans="2:32">
      <c r="AC44" s="14"/>
      <c r="AD44" s="14"/>
      <c r="AE44" s="14"/>
      <c r="AF44" s="14"/>
    </row>
    <row r="45" spans="2:32">
      <c r="AC45" s="14"/>
      <c r="AD45" s="14"/>
      <c r="AE45" s="14"/>
      <c r="AF45" s="14"/>
    </row>
    <row r="46" spans="2:32">
      <c r="AC46" s="14"/>
      <c r="AD46" s="14"/>
      <c r="AE46" s="14"/>
      <c r="AF46" s="14"/>
    </row>
    <row r="47" spans="2:32">
      <c r="AC47" s="14"/>
      <c r="AD47" s="14"/>
      <c r="AE47" s="14"/>
      <c r="AF47" s="14"/>
    </row>
    <row r="48" spans="2:32">
      <c r="AC48" s="14"/>
      <c r="AD48" s="14"/>
      <c r="AE48" s="14"/>
      <c r="AF48" s="14"/>
    </row>
    <row r="49" spans="29:32">
      <c r="AC49" s="14"/>
      <c r="AD49" s="14"/>
      <c r="AE49" s="14"/>
      <c r="AF49" s="14"/>
    </row>
  </sheetData>
  <mergeCells count="15">
    <mergeCell ref="U23:U27"/>
    <mergeCell ref="U28:U31"/>
    <mergeCell ref="U21:AE21"/>
    <mergeCell ref="U34:AA34"/>
    <mergeCell ref="U2:AF2"/>
    <mergeCell ref="U7:AF7"/>
    <mergeCell ref="U9:U13"/>
    <mergeCell ref="U14:U17"/>
    <mergeCell ref="N7:O7"/>
    <mergeCell ref="P7:S7"/>
    <mergeCell ref="B22:D22"/>
    <mergeCell ref="C7:G7"/>
    <mergeCell ref="B2:D2"/>
    <mergeCell ref="H7:J7"/>
    <mergeCell ref="K7:M7"/>
  </mergeCells>
  <conditionalFormatting sqref="D24:D32">
    <cfRule type="containsText" dxfId="10" priority="12" operator="containsText" text="Insufficient">
      <formula>NOT(ISERROR(SEARCH("Insufficient",D24)))</formula>
    </cfRule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{57251D86-872F-4A98-9D88-84927C0899A4}</x14:id>
        </ext>
      </extLst>
    </cfRule>
  </conditionalFormatting>
  <conditionalFormatting sqref="Z36:Z43">
    <cfRule type="dataBar" priority="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{D57E3F8C-6E4C-474D-8800-E048D30B8C82}</x14:id>
        </ext>
      </extLst>
    </cfRule>
  </conditionalFormatting>
  <conditionalFormatting sqref="AA36:AA43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{2F46C50F-9D85-4E32-AC5A-645715BFBAA3}</x14:id>
        </ext>
      </extLst>
    </cfRule>
  </conditionalFormatting>
  <conditionalFormatting sqref="X23:AE31">
    <cfRule type="cellIs" dxfId="9" priority="15" operator="lessThan">
      <formula>10</formula>
    </cfRule>
  </conditionalFormatting>
  <conditionalFormatting sqref="X36:Y43">
    <cfRule type="cellIs" dxfId="8" priority="14" operator="lessThan">
      <formula>25</formula>
    </cfRule>
  </conditionalFormatting>
  <conditionalFormatting sqref="Z36:AA43">
    <cfRule type="cellIs" dxfId="7" priority="13" operator="lessThan">
      <formula>250</formula>
    </cfRule>
  </conditionalFormatting>
  <conditionalFormatting sqref="D24:D33">
    <cfRule type="cellIs" dxfId="6" priority="25" operator="greaterThan">
      <formula>15</formula>
    </cfRule>
  </conditionalFormatting>
  <conditionalFormatting sqref="Y36:Y43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{3164C17D-D41F-4041-8C29-1007316A9762}</x14:id>
        </ext>
      </extLst>
    </cfRule>
  </conditionalFormatting>
  <conditionalFormatting sqref="X36:X43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{674704C5-8B7B-4BA4-AF76-15875354BBF8}</x14:id>
        </ext>
      </extLst>
    </cfRule>
  </conditionalFormatting>
  <conditionalFormatting sqref="X23:AE23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{A193FEBE-4E34-4A5F-A401-4B1C37964AF6}</x14:id>
        </ext>
      </extLst>
    </cfRule>
  </conditionalFormatting>
  <conditionalFormatting sqref="X24:AE24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{9617DF3C-FF95-44C2-B955-3F2F8CAE896B}</x14:id>
        </ext>
      </extLst>
    </cfRule>
  </conditionalFormatting>
  <conditionalFormatting sqref="X25:AE25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{7D350825-557F-492F-8F40-F89C10856D00}</x14:id>
        </ext>
      </extLst>
    </cfRule>
  </conditionalFormatting>
  <conditionalFormatting sqref="X26:AE2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{CF6C1401-774D-4F5D-8A7D-F958FD487E02}</x14:id>
        </ext>
      </extLst>
    </cfRule>
  </conditionalFormatting>
  <conditionalFormatting sqref="X27:AE27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{8957459A-7BB3-466F-806F-E75C2589B47C}</x14:id>
        </ext>
      </extLst>
    </cfRule>
  </conditionalFormatting>
  <conditionalFormatting sqref="X28:AE2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{A80B9458-9C98-4725-A4B1-E2C86FA5EEEB}</x14:id>
        </ext>
      </extLst>
    </cfRule>
  </conditionalFormatting>
  <conditionalFormatting sqref="G1">
    <cfRule type="cellIs" dxfId="2" priority="3" operator="equal">
      <formula>0</formula>
    </cfRule>
  </conditionalFormatting>
  <conditionalFormatting sqref="G1">
    <cfRule type="cellIs" dxfId="1" priority="2" operator="equal">
      <formula>10</formula>
    </cfRule>
  </conditionalFormatting>
  <conditionalFormatting sqref="G1">
    <cfRule type="containsText" dxfId="0" priority="1" operator="containsText" text=": Reaction">
      <formula>NOT(ISERROR(SEARCH(": Reaction",G1)))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251D86-872F-4A98-9D88-84927C0899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D24:D32</xm:sqref>
        </x14:conditionalFormatting>
        <x14:conditionalFormatting xmlns:xm="http://schemas.microsoft.com/office/excel/2006/main">
          <x14:cfRule type="dataBar" id="{D57E3F8C-6E4C-474D-8800-E048D30B8C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Z36:Z43</xm:sqref>
        </x14:conditionalFormatting>
        <x14:conditionalFormatting xmlns:xm="http://schemas.microsoft.com/office/excel/2006/main">
          <x14:cfRule type="dataBar" id="{2F46C50F-9D85-4E32-AC5A-645715BFBA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AA36:AA43</xm:sqref>
        </x14:conditionalFormatting>
        <x14:conditionalFormatting xmlns:xm="http://schemas.microsoft.com/office/excel/2006/main">
          <x14:cfRule type="dataBar" id="{3164C17D-D41F-4041-8C29-1007316A97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Y36:Y43</xm:sqref>
        </x14:conditionalFormatting>
        <x14:conditionalFormatting xmlns:xm="http://schemas.microsoft.com/office/excel/2006/main">
          <x14:cfRule type="dataBar" id="{674704C5-8B7B-4BA4-AF76-15875354BB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X36:X43</xm:sqref>
        </x14:conditionalFormatting>
        <x14:conditionalFormatting xmlns:xm="http://schemas.microsoft.com/office/excel/2006/main">
          <x14:cfRule type="dataBar" id="{A193FEBE-4E34-4A5F-A401-4B1C37964A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X23:AE23</xm:sqref>
        </x14:conditionalFormatting>
        <x14:conditionalFormatting xmlns:xm="http://schemas.microsoft.com/office/excel/2006/main">
          <x14:cfRule type="dataBar" id="{9617DF3C-FF95-44C2-B955-3F2F8CAE89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X24:AE24</xm:sqref>
        </x14:conditionalFormatting>
        <x14:conditionalFormatting xmlns:xm="http://schemas.microsoft.com/office/excel/2006/main">
          <x14:cfRule type="dataBar" id="{7D350825-557F-492F-8F40-F89C10856D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X25:AE25</xm:sqref>
        </x14:conditionalFormatting>
        <x14:conditionalFormatting xmlns:xm="http://schemas.microsoft.com/office/excel/2006/main">
          <x14:cfRule type="dataBar" id="{CF6C1401-774D-4F5D-8A7D-F958FD487E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X26:AE26</xm:sqref>
        </x14:conditionalFormatting>
        <x14:conditionalFormatting xmlns:xm="http://schemas.microsoft.com/office/excel/2006/main">
          <x14:cfRule type="dataBar" id="{8957459A-7BB3-466F-806F-E75C2589B47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X27:AE27</xm:sqref>
        </x14:conditionalFormatting>
        <x14:conditionalFormatting xmlns:xm="http://schemas.microsoft.com/office/excel/2006/main">
          <x14:cfRule type="dataBar" id="{A80B9458-9C98-4725-A4B1-E2C86FA5EE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X28:AE28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input_all</vt:lpstr>
      <vt:lpstr>Dashboard</vt:lpstr>
      <vt:lpstr>Economics</vt:lpstr>
      <vt:lpstr>Potential</vt:lpstr>
    </vt:vector>
  </TitlesOfParts>
  <Company>DTU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 Andrew Silk</dc:creator>
  <cp:lastModifiedBy>Dominic Andrew Silk</cp:lastModifiedBy>
  <dcterms:created xsi:type="dcterms:W3CDTF">2018-05-03T09:23:53Z</dcterms:created>
  <dcterms:modified xsi:type="dcterms:W3CDTF">2018-11-07T15:19:33Z</dcterms:modified>
</cp:coreProperties>
</file>